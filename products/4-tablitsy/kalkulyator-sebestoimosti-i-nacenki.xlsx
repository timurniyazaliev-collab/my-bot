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Калькулятор" sheetId="2" state="visible" r:id="rId2"/>
    <sheet name="Сравнение це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с&quot;;-#,##0&quot; с&quot;;&quot;-&quot;"/>
    <numFmt numFmtId="165" formatCode="0.0%;-0.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i val="1"/>
      <color rgb="007F7F7F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5" fillId="3" borderId="0" pivotButton="0" quotePrefix="0" xfId="0"/>
    <xf numFmtId="165" fontId="5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5" fillId="3" borderId="0" pivotButton="0" quotePrefix="0" xfId="0"/>
    <xf numFmtId="164" fontId="7" fillId="0" borderId="0" pivotButton="0" quotePrefix="0" xfId="0"/>
    <xf numFmtId="165" fontId="7" fillId="0" borderId="0" pivotButton="0" quotePrefix="0" xfId="0"/>
    <xf numFmtId="3" fontId="6" fillId="0" borderId="0" pivotButton="0" quotePrefix="0" xfId="0"/>
    <xf numFmtId="3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Шаблон</author>
  </authors>
  <commentList>
    <comment ref="B9" authorId="0" shapeId="0">
      <text>
        <t>Процент от цены продажи. Для эквайринга уточни ставку у банка.</t>
      </text>
    </comment>
    <comment ref="B27" authorId="0" shapeId="0">
      <text>
        <t>Цена подобрана так, чтобы после вычета комиссии осталась себестоимость + наценка.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Калькулятор себестоимости и наценки</t>
        </is>
      </c>
    </row>
    <row r="2">
      <c r="A2" s="2" t="n"/>
    </row>
    <row r="3">
      <c r="A3" s="3" t="inlineStr">
        <is>
          <t>Для кого: производство, общепит, торговля, маркетплейсы, услуги — любой товар или услуга.</t>
        </is>
      </c>
    </row>
    <row r="4">
      <c r="A4" s="3" t="inlineStr">
        <is>
          <t>1. Лист «Калькулятор»: заполняй только жёлтые ячейки с синим текстом. Остальное считается само.</t>
        </is>
      </c>
    </row>
    <row r="5">
      <c r="A5" s="3" t="inlineStr">
        <is>
          <t>2. Сначала — затраты на единицу (сырьё, упаковка, работа, доставка). Потом — постоянные расходы в месяц и план продаж.</t>
        </is>
      </c>
    </row>
    <row r="6">
      <c r="A6" s="3" t="inlineStr">
        <is>
          <t>3. Укажи желаемую наценку — таблица покажет цену, прибыль с единицы и точку безубыточности.</t>
        </is>
      </c>
    </row>
    <row r="7">
      <c r="A7" s="3" t="inlineStr">
        <is>
          <t>4. Можно менять любые формулы под себя: Файл → Создать копию, и таблица твоя.</t>
        </is>
      </c>
    </row>
    <row r="8">
      <c r="A8" s="3" t="inlineStr">
        <is>
          <t>5. Лист «Сравнение цен» — проверить 3 варианта цены за раз.</t>
        </is>
      </c>
    </row>
    <row r="9">
      <c r="A9" s="3" t="inlineStr">
        <is>
          <t>Наценка = (цена − себестоимость) / себестоимость. Маржа = (цена − себестоимость) / цена. Это разные вещи — таблица считает обе.</t>
        </is>
      </c>
    </row>
    <row r="10">
      <c r="A10" s="3" t="inlineStr">
        <is>
          <t>В примере заполнены условные цифры — замени их своими.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Калькулятор себестоимости и наценки</t>
        </is>
      </c>
      <c r="B1" s="2" t="n"/>
    </row>
    <row r="2">
      <c r="A2" s="4" t="inlineStr">
        <is>
          <t>Жёлтые ячейки — заполняешь ты. Суммы в сомах (можно в любой валюте, главное — одной).</t>
        </is>
      </c>
      <c r="B2" s="2" t="n"/>
    </row>
    <row r="3">
      <c r="A3" s="2" t="n"/>
      <c r="B3" s="2" t="n"/>
    </row>
    <row r="4">
      <c r="A4" s="5" t="inlineStr">
        <is>
          <t>Переменные затраты на 1 единицу</t>
        </is>
      </c>
      <c r="B4" s="5" t="inlineStr">
        <is>
          <t>Сумма</t>
        </is>
      </c>
    </row>
    <row r="5">
      <c r="A5" s="3" t="inlineStr">
        <is>
          <t>Сырьё / закупочная цена товара</t>
        </is>
      </c>
      <c r="B5" s="6" t="n">
        <v>350</v>
      </c>
    </row>
    <row r="6">
      <c r="A6" s="3" t="inlineStr">
        <is>
          <t>Упаковка</t>
        </is>
      </c>
      <c r="B6" s="6" t="n">
        <v>25</v>
      </c>
    </row>
    <row r="7">
      <c r="A7" s="3" t="inlineStr">
        <is>
          <t>Работа (сдельная оплата за единицу)</t>
        </is>
      </c>
      <c r="B7" s="6" t="n">
        <v>60</v>
      </c>
    </row>
    <row r="8">
      <c r="A8" s="3" t="inlineStr">
        <is>
          <t>Доставка до склада / клиента за единицу</t>
        </is>
      </c>
      <c r="B8" s="6" t="n">
        <v>40</v>
      </c>
    </row>
    <row r="9">
      <c r="A9" s="3" t="inlineStr">
        <is>
          <t>Комиссия маркетплейса / эквайринга, % от цены</t>
        </is>
      </c>
      <c r="B9" s="7" t="n">
        <v>0.1</v>
      </c>
    </row>
    <row r="10">
      <c r="A10" s="3" t="inlineStr">
        <is>
          <t>Прочее на единицу</t>
        </is>
      </c>
      <c r="B10" s="6" t="n">
        <v>0</v>
      </c>
    </row>
    <row r="11">
      <c r="A11" s="8" t="inlineStr">
        <is>
          <t>Переменные затраты без комиссии, на единицу</t>
        </is>
      </c>
      <c r="B11" s="9">
        <f>B5+B6+B7+B8+B10</f>
        <v/>
      </c>
    </row>
    <row r="12">
      <c r="A12" s="2" t="n"/>
      <c r="B12" s="2" t="n"/>
    </row>
    <row r="13">
      <c r="A13" s="5" t="inlineStr">
        <is>
          <t>Постоянные расходы в месяц</t>
        </is>
      </c>
      <c r="B13" s="5" t="inlineStr">
        <is>
          <t>Сумма</t>
        </is>
      </c>
    </row>
    <row r="14">
      <c r="A14" s="3" t="inlineStr">
        <is>
          <t>Аренда</t>
        </is>
      </c>
      <c r="B14" s="6" t="n">
        <v>20000</v>
      </c>
    </row>
    <row r="15">
      <c r="A15" s="3" t="inlineStr">
        <is>
          <t>Зарплата (оклады)</t>
        </is>
      </c>
      <c r="B15" s="6" t="n">
        <v>40000</v>
      </c>
    </row>
    <row r="16">
      <c r="A16" s="3" t="inlineStr">
        <is>
          <t>Реклама</t>
        </is>
      </c>
      <c r="B16" s="6" t="n">
        <v>15000</v>
      </c>
    </row>
    <row r="17">
      <c r="A17" s="3" t="inlineStr">
        <is>
          <t>Связь, интернет, сервисы</t>
        </is>
      </c>
      <c r="B17" s="6" t="n">
        <v>3000</v>
      </c>
    </row>
    <row r="18">
      <c r="A18" s="3" t="inlineStr">
        <is>
          <t>Налоги и бухгалтерия (фикс.)</t>
        </is>
      </c>
      <c r="B18" s="6" t="n">
        <v>5000</v>
      </c>
    </row>
    <row r="19">
      <c r="A19" s="3" t="inlineStr">
        <is>
          <t>Прочее</t>
        </is>
      </c>
      <c r="B19" s="6" t="n">
        <v>2000</v>
      </c>
    </row>
    <row r="20">
      <c r="A20" s="8" t="inlineStr">
        <is>
          <t>Итого постоянные в месяц</t>
        </is>
      </c>
      <c r="B20" s="9">
        <f>SUM(B14:B19)</f>
        <v/>
      </c>
    </row>
    <row r="21">
      <c r="A21" s="2" t="inlineStr">
        <is>
          <t>План продаж, единиц в месяц</t>
        </is>
      </c>
      <c r="B21" s="10" t="n">
        <v>300</v>
      </c>
    </row>
    <row r="22">
      <c r="A22" s="2" t="inlineStr">
        <is>
          <t>Постоянные расходы на 1 единицу</t>
        </is>
      </c>
      <c r="B22" s="11">
        <f>IF(B21&gt;0,B20/B21,0)</f>
        <v/>
      </c>
    </row>
    <row r="23">
      <c r="A23" s="8" t="inlineStr">
        <is>
          <t>Полная себестоимость единицы (без комиссии)</t>
        </is>
      </c>
      <c r="B23" s="9">
        <f>B11+B22</f>
        <v/>
      </c>
    </row>
    <row r="24">
      <c r="A24" s="2" t="n"/>
      <c r="B24" s="2" t="n"/>
    </row>
    <row r="25">
      <c r="A25" s="5" t="inlineStr">
        <is>
          <t>Цена и прибыль</t>
        </is>
      </c>
      <c r="B25" s="5" t="inlineStr">
        <is>
          <t>Значение</t>
        </is>
      </c>
    </row>
    <row r="26">
      <c r="A26" s="2" t="inlineStr">
        <is>
          <t>Желаемая наценка на полную себестоимость</t>
        </is>
      </c>
      <c r="B26" s="7" t="n">
        <v>0.8</v>
      </c>
    </row>
    <row r="27">
      <c r="A27" s="8" t="inlineStr">
        <is>
          <t>Рекомендованная цена (с учётом комиссии)</t>
        </is>
      </c>
      <c r="B27" s="9">
        <f>IF(B9&lt;1,B23*(1+B26)/(1-B9),0)</f>
        <v/>
      </c>
    </row>
    <row r="28">
      <c r="A28" s="2" t="inlineStr">
        <is>
          <t>Твоя цена (если хочешь проверить свою)</t>
        </is>
      </c>
      <c r="B28" s="6" t="n">
        <v>1200</v>
      </c>
    </row>
    <row r="29">
      <c r="A29" s="2" t="inlineStr">
        <is>
          <t>Комиссия с единицы по твоей цене</t>
        </is>
      </c>
      <c r="B29" s="11">
        <f>B28*B9</f>
        <v/>
      </c>
    </row>
    <row r="30">
      <c r="A30" s="8" t="inlineStr">
        <is>
          <t>Прибыль с единицы по твоей цене</t>
        </is>
      </c>
      <c r="B30" s="9">
        <f>B28-B23-B29</f>
        <v/>
      </c>
    </row>
    <row r="31">
      <c r="A31" s="2" t="inlineStr">
        <is>
          <t>Наценка по твоей цене</t>
        </is>
      </c>
      <c r="B31" s="12">
        <f>IF(B23&gt;0,(B28-B23)/B23,0)</f>
        <v/>
      </c>
    </row>
    <row r="32">
      <c r="A32" s="2" t="inlineStr">
        <is>
          <t>Маржа по твоей цене (после комиссии)</t>
        </is>
      </c>
      <c r="B32" s="12">
        <f>IF(B28&gt;0,B30/B28,0)</f>
        <v/>
      </c>
    </row>
    <row r="33">
      <c r="A33" s="8" t="inlineStr">
        <is>
          <t>Прибыль в месяц при плане продаж</t>
        </is>
      </c>
      <c r="B33" s="9">
        <f>B30*B21</f>
        <v/>
      </c>
    </row>
    <row r="34">
      <c r="A34" s="8" t="inlineStr">
        <is>
          <t>Точка безубыточности, единиц в месяц</t>
        </is>
      </c>
      <c r="B34" s="13">
        <f>IF(B28-B11-B29&gt;0,ROUNDUP(B20/(B28-B11-B29),0),"цена ниже затрат")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Сравнение трёх вариантов цены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>
        <is>
          <t>Показатель</t>
        </is>
      </c>
      <c r="B3" s="5" t="inlineStr">
        <is>
          <t>Вариант 1</t>
        </is>
      </c>
      <c r="C3" s="5" t="inlineStr">
        <is>
          <t>Вариант 2</t>
        </is>
      </c>
      <c r="D3" s="5" t="inlineStr">
        <is>
          <t>Вариант 3</t>
        </is>
      </c>
    </row>
    <row r="4">
      <c r="A4" s="2" t="inlineStr">
        <is>
          <t>Цена</t>
        </is>
      </c>
      <c r="B4" s="6" t="n">
        <v>900</v>
      </c>
      <c r="C4" s="6" t="n">
        <v>1200</v>
      </c>
      <c r="D4" s="6" t="n">
        <v>1500</v>
      </c>
    </row>
    <row r="5">
      <c r="A5" s="2" t="inlineStr">
        <is>
          <t>Ожидаемые продажи в месяц, единиц</t>
        </is>
      </c>
      <c r="B5" s="10" t="n">
        <v>400</v>
      </c>
      <c r="C5" s="10" t="n">
        <v>300</v>
      </c>
      <c r="D5" s="10" t="n">
        <v>200</v>
      </c>
    </row>
    <row r="6">
      <c r="A6" s="3" t="inlineStr">
        <is>
          <t>Переменные + комиссия на единицу</t>
        </is>
      </c>
      <c r="B6" s="11">
        <f>B4*Калькулятор!$B$9+Калькулятор!$B$11</f>
        <v/>
      </c>
      <c r="C6" s="11">
        <f>C4*Калькулятор!$B$9+Калькулятор!$B$11</f>
        <v/>
      </c>
      <c r="D6" s="11">
        <f>D4*Калькулятор!$B$9+Калькулятор!$B$11</f>
        <v/>
      </c>
    </row>
    <row r="7">
      <c r="A7" s="3" t="inlineStr">
        <is>
          <t>Прибыль с единицы до постоянных</t>
        </is>
      </c>
      <c r="B7" s="11">
        <f>B4-B6</f>
        <v/>
      </c>
      <c r="C7" s="11">
        <f>C4-C6</f>
        <v/>
      </c>
      <c r="D7" s="11">
        <f>D4-D6</f>
        <v/>
      </c>
    </row>
    <row r="8">
      <c r="A8" s="3" t="inlineStr">
        <is>
          <t>Прибыль в месяц</t>
        </is>
      </c>
      <c r="B8" s="11">
        <f>B7*B5-Калькулятор!$B$20</f>
        <v/>
      </c>
      <c r="C8" s="11">
        <f>C7*C5-Калькулятор!$B$20</f>
        <v/>
      </c>
      <c r="D8" s="11">
        <f>D7*D5-Калькулятор!$B$20</f>
        <v/>
      </c>
    </row>
    <row r="9">
      <c r="A9" s="8" t="inlineStr">
        <is>
          <t>Точка безубыточности, единиц</t>
        </is>
      </c>
      <c r="B9" s="14">
        <f>IF(B7&gt;0,ROUNDUP(Калькулятор!$B$20/B7,0),"убыток")</f>
        <v/>
      </c>
      <c r="C9" s="14">
        <f>IF(C7&gt;0,ROUNDUP(Калькулятор!$B$20/C7,0),"убыток")</f>
        <v/>
      </c>
      <c r="D9" s="14">
        <f>IF(D7&gt;0,ROUNDUP(Калькулятор!$B$20/D7,0),"убыток")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2026-09-26T17:21:36Z</dcterms:created>
  <dcterms:modified xsi:type="dcterms:W3CDTF">2026-09-26T17:21:36Z</dcterms:modified>
</cp:coreProperties>
</file>