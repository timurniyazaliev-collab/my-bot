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Товары" sheetId="2" state="visible" r:id="rId2"/>
    <sheet name="Продажи" sheetId="3" state="visible" r:id="rId3"/>
    <sheet name="Остатки" sheetId="4" state="visible" r:id="rId4"/>
    <sheet name="Итог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с&quot;;-#,##0&quot; с&quot;;&quot;-&quot;"/>
    <numFmt numFmtId="165" formatCode="0.0%;-0.0%;&quot;-&quot;"/>
    <numFmt numFmtId="166" formatCode="yyyy-mm-dd"/>
    <numFmt numFmtId="167" formatCode="DD.MM.YYYY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FFFFFF"/>
    </font>
    <font>
      <name val="Arial"/>
      <color rgb="000000FF"/>
    </font>
    <font>
      <name val="Arial"/>
      <color rgb="00008000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164" fontId="4" fillId="3" borderId="0" pivotButton="0" quotePrefix="0" xfId="0"/>
    <xf numFmtId="165" fontId="4" fillId="3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7" fontId="4" fillId="3" borderId="0" pivotButton="0" quotePrefix="0" xfId="0"/>
    <xf numFmtId="3" fontId="4" fillId="3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Учёт продаж и юнит-экономика для продавца маркетплейса</t>
        </is>
      </c>
    </row>
    <row r="2">
      <c r="A2" s="2" t="n"/>
    </row>
    <row r="3">
      <c r="A3" s="3" t="inlineStr">
        <is>
          <t>Для кого: продавцы Wildberries, Ozon, Lalafo, Instagram-магазины — любой, кто продаёт товары онлайн.</t>
        </is>
      </c>
    </row>
    <row r="4">
      <c r="A4" s="3" t="inlineStr">
        <is>
          <t>1. «Товары»: один раз заполни карточки — артикул, закупка, комиссия площадки, логистика. Таблица посчитает прибыль с единицы и маржу.</t>
        </is>
      </c>
    </row>
    <row r="5">
      <c r="A5" s="3" t="inlineStr">
        <is>
          <t>2. «Продажи»: каждая продажа или возврат — одна строка. Артикул выбирай из списка, остальное подтянется само.</t>
        </is>
      </c>
    </row>
    <row r="6">
      <c r="A6" s="3" t="inlineStr">
        <is>
          <t>3. «Остатки»: приход товара вносишь сюда — остаток = приход − продано + возвраты.</t>
        </is>
      </c>
    </row>
    <row r="7">
      <c r="A7" s="3" t="inlineStr">
        <is>
          <t>4. «Итоги»: выручка, прибыль, возвраты по месяцам — меняй месяц в жёлтой ячейке.</t>
        </is>
      </c>
    </row>
    <row r="8">
      <c r="A8" s="3" t="inlineStr">
        <is>
          <t>Комиссии и тарифы площадок меняются — сверяй их в личном кабинете продавца. В примере цифры условные.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0" customWidth="1" min="9" max="9"/>
    <col width="13" customWidth="1" min="10" max="10"/>
    <col width="9" customWidth="1" min="11" max="11"/>
  </cols>
  <sheetData>
    <row r="1">
      <c r="A1" s="4" t="inlineStr">
        <is>
          <t>Артикул</t>
        </is>
      </c>
      <c r="B1" s="4" t="inlineStr">
        <is>
          <t>Название</t>
        </is>
      </c>
      <c r="C1" s="4" t="inlineStr">
        <is>
          <t>Закупка за шт</t>
        </is>
      </c>
      <c r="D1" s="4" t="inlineStr">
        <is>
          <t>Доставка до склада за шт</t>
        </is>
      </c>
      <c r="E1" s="4" t="inlineStr">
        <is>
          <t>Упаковка/маркировка за шт</t>
        </is>
      </c>
      <c r="F1" s="4" t="inlineStr">
        <is>
          <t>Цена продажи</t>
        </is>
      </c>
      <c r="G1" s="4" t="inlineStr">
        <is>
          <t>Комиссия площадки, %</t>
        </is>
      </c>
      <c r="H1" s="4" t="inlineStr">
        <is>
          <t>Логистика площадки за шт</t>
        </is>
      </c>
      <c r="I1" s="4" t="inlineStr">
        <is>
          <t>Налог, % от цены</t>
        </is>
      </c>
      <c r="J1" s="4" t="inlineStr">
        <is>
          <t>Прибыль с шт</t>
        </is>
      </c>
      <c r="K1" s="4" t="inlineStr">
        <is>
          <t>Маржа</t>
        </is>
      </c>
    </row>
    <row r="2">
      <c r="A2" s="5" t="inlineStr">
        <is>
          <t>A-001</t>
        </is>
      </c>
      <c r="B2" s="5" t="inlineStr">
        <is>
          <t>Термокружка 450 мл</t>
        </is>
      </c>
      <c r="C2" s="6" t="n">
        <v>320</v>
      </c>
      <c r="D2" s="6" t="n">
        <v>30</v>
      </c>
      <c r="E2" s="6" t="n">
        <v>15</v>
      </c>
      <c r="F2" s="6" t="n">
        <v>990</v>
      </c>
      <c r="G2" s="7" t="n">
        <v>0.19</v>
      </c>
      <c r="H2" s="6" t="n">
        <v>60</v>
      </c>
      <c r="I2" s="7" t="n">
        <v>0.04</v>
      </c>
      <c r="J2" s="8">
        <f>IF(A2="","",F2-C2-D2-E2-F2*G2-H2-F2*I2)</f>
        <v/>
      </c>
      <c r="K2" s="9">
        <f>IF(OR(A2="",F2=0),"",J2/F2)</f>
        <v/>
      </c>
    </row>
    <row r="3">
      <c r="A3" s="5" t="inlineStr">
        <is>
          <t>A-002</t>
        </is>
      </c>
      <c r="B3" s="5" t="inlineStr">
        <is>
          <t>Органайзер для кухни</t>
        </is>
      </c>
      <c r="C3" s="6" t="n">
        <v>210</v>
      </c>
      <c r="D3" s="6" t="n">
        <v>25</v>
      </c>
      <c r="E3" s="6" t="n">
        <v>10</v>
      </c>
      <c r="F3" s="6" t="n">
        <v>690</v>
      </c>
      <c r="G3" s="7" t="n">
        <v>0.19</v>
      </c>
      <c r="H3" s="6" t="n">
        <v>55</v>
      </c>
      <c r="I3" s="7" t="n">
        <v>0.04</v>
      </c>
      <c r="J3" s="8">
        <f>IF(A3="","",F3-C3-D3-E3-F3*G3-H3-F3*I3)</f>
        <v/>
      </c>
      <c r="K3" s="9">
        <f>IF(OR(A3="",F3=0),"",J3/F3)</f>
        <v/>
      </c>
    </row>
    <row r="4">
      <c r="A4" s="5" t="inlineStr">
        <is>
          <t>A-003</t>
        </is>
      </c>
      <c r="B4" s="5" t="inlineStr">
        <is>
          <t>Набор полотенец</t>
        </is>
      </c>
      <c r="C4" s="6" t="n">
        <v>540</v>
      </c>
      <c r="D4" s="6" t="n">
        <v>40</v>
      </c>
      <c r="E4" s="6" t="n">
        <v>20</v>
      </c>
      <c r="F4" s="6" t="n">
        <v>1590</v>
      </c>
      <c r="G4" s="7" t="n">
        <v>0.19</v>
      </c>
      <c r="H4" s="6" t="n">
        <v>80</v>
      </c>
      <c r="I4" s="7" t="n">
        <v>0.04</v>
      </c>
      <c r="J4" s="8">
        <f>IF(A4="","",F4-C4-D4-E4-F4*G4-H4-F4*I4)</f>
        <v/>
      </c>
      <c r="K4" s="9">
        <f>IF(OR(A4="",F4=0),"",J4/F4)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8">
        <f>IF(A5="","",F5-C5-D5-E5-F5*G5-H5-F5*I5)</f>
        <v/>
      </c>
      <c r="K5" s="9">
        <f>IF(OR(A5="",F5=0),"",J5/F5)</f>
        <v/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8">
        <f>IF(A6="","",F6-C6-D6-E6-F6*G6-H6-F6*I6)</f>
        <v/>
      </c>
      <c r="K6" s="9">
        <f>IF(OR(A6="",F6=0),"",J6/F6)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8">
        <f>IF(A7="","",F7-C7-D7-E7-F7*G7-H7-F7*I7)</f>
        <v/>
      </c>
      <c r="K7" s="9">
        <f>IF(OR(A7="",F7=0),"",J7/F7)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8">
        <f>IF(A8="","",F8-C8-D8-E8-F8*G8-H8-F8*I8)</f>
        <v/>
      </c>
      <c r="K8" s="9">
        <f>IF(OR(A8="",F8=0),"",J8/F8)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8">
        <f>IF(A9="","",F9-C9-D9-E9-F9*G9-H9-F9*I9)</f>
        <v/>
      </c>
      <c r="K9" s="9">
        <f>IF(OR(A9="",F9=0),"",J9/F9)</f>
        <v/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8">
        <f>IF(A10="","",F10-C10-D10-E10-F10*G10-H10-F10*I10)</f>
        <v/>
      </c>
      <c r="K10" s="9">
        <f>IF(OR(A10="",F10=0),"",J10/F10)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8">
        <f>IF(A11="","",F11-C11-D11-E11-F11*G11-H11-F11*I11)</f>
        <v/>
      </c>
      <c r="K11" s="9">
        <f>IF(OR(A11="",F11=0),"",J11/F11)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8">
        <f>IF(A12="","",F12-C12-D12-E12-F12*G12-H12-F12*I12)</f>
        <v/>
      </c>
      <c r="K12" s="9">
        <f>IF(OR(A12="",F12=0),"",J12/F12)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8">
        <f>IF(A13="","",F13-C13-D13-E13-F13*G13-H13-F13*I13)</f>
        <v/>
      </c>
      <c r="K13" s="9">
        <f>IF(OR(A13="",F13=0),"",J13/F13)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8">
        <f>IF(A14="","",F14-C14-D14-E14-F14*G14-H14-F14*I14)</f>
        <v/>
      </c>
      <c r="K14" s="9">
        <f>IF(OR(A14="",F14=0),"",J14/F14)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8">
        <f>IF(A15="","",F15-C15-D15-E15-F15*G15-H15-F15*I15)</f>
        <v/>
      </c>
      <c r="K15" s="9">
        <f>IF(OR(A15="",F15=0),"",J15/F15)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8">
        <f>IF(A16="","",F16-C16-D16-E16-F16*G16-H16-F16*I16)</f>
        <v/>
      </c>
      <c r="K16" s="9">
        <f>IF(OR(A16="",F16=0),"",J16/F16)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8">
        <f>IF(A17="","",F17-C17-D17-E17-F17*G17-H17-F17*I17)</f>
        <v/>
      </c>
      <c r="K17" s="9">
        <f>IF(OR(A17="",F17=0),"",J17/F17)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8">
        <f>IF(A18="","",F18-C18-D18-E18-F18*G18-H18-F18*I18)</f>
        <v/>
      </c>
      <c r="K18" s="9">
        <f>IF(OR(A18="",F18=0),"",J18/F18)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8">
        <f>IF(A19="","",F19-C19-D19-E19-F19*G19-H19-F19*I19)</f>
        <v/>
      </c>
      <c r="K19" s="9">
        <f>IF(OR(A19="",F19=0),"",J19/F19)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8">
        <f>IF(A20="","",F20-C20-D20-E20-F20*G20-H20-F20*I20)</f>
        <v/>
      </c>
      <c r="K20" s="9">
        <f>IF(OR(A20="",F20=0),"",J20/F20)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8">
        <f>IF(A21="","",F21-C21-D21-E21-F21*G21-H21-F21*I21)</f>
        <v/>
      </c>
      <c r="K21" s="9">
        <f>IF(OR(A21="",F21=0),"",J21/F21)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8">
        <f>IF(A22="","",F22-C22-D22-E22-F22*G22-H22-F22*I22)</f>
        <v/>
      </c>
      <c r="K22" s="9">
        <f>IF(OR(A22="",F22=0),"",J22/F22)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8">
        <f>IF(A23="","",F23-C23-D23-E23-F23*G23-H23-F23*I23)</f>
        <v/>
      </c>
      <c r="K23" s="9">
        <f>IF(OR(A23="",F23=0),"",J23/F23)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8">
        <f>IF(A24="","",F24-C24-D24-E24-F24*G24-H24-F24*I24)</f>
        <v/>
      </c>
      <c r="K24" s="9">
        <f>IF(OR(A24="",F24=0),"",J24/F24)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8">
        <f>IF(A25="","",F25-C25-D25-E25-F25*G25-H25-F25*I25)</f>
        <v/>
      </c>
      <c r="K25" s="9">
        <f>IF(OR(A25="",F25=0),"",J25/F25)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8">
        <f>IF(A26="","",F26-C26-D26-E26-F26*G26-H26-F26*I26)</f>
        <v/>
      </c>
      <c r="K26" s="9">
        <f>IF(OR(A26="",F26=0),"",J26/F26)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8">
        <f>IF(A27="","",F27-C27-D27-E27-F27*G27-H27-F27*I27)</f>
        <v/>
      </c>
      <c r="K27" s="9">
        <f>IF(OR(A27="",F27=0),"",J27/F27)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8">
        <f>IF(A28="","",F28-C28-D28-E28-F28*G28-H28-F28*I28)</f>
        <v/>
      </c>
      <c r="K28" s="9">
        <f>IF(OR(A28="",F28=0),"",J28/F28)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8">
        <f>IF(A29="","",F29-C29-D29-E29-F29*G29-H29-F29*I29)</f>
        <v/>
      </c>
      <c r="K29" s="9">
        <f>IF(OR(A29="",F29=0),"",J29/F29)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8">
        <f>IF(A30="","",F30-C30-D30-E30-F30*G30-H30-F30*I30)</f>
        <v/>
      </c>
      <c r="K30" s="9">
        <f>IF(OR(A30="",F30=0),"",J30/F30)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8">
        <f>IF(A31="","",F31-C31-D31-E31-F31*G31-H31-F31*I31)</f>
        <v/>
      </c>
      <c r="K31" s="9">
        <f>IF(OR(A31="",F31=0),"",J31/F31)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8">
        <f>IF(A32="","",F32-C32-D32-E32-F32*G32-H32-F32*I32)</f>
        <v/>
      </c>
      <c r="K32" s="9">
        <f>IF(OR(A32="",F32=0),"",J32/F32)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8">
        <f>IF(A33="","",F33-C33-D33-E33-F33*G33-H33-F33*I33)</f>
        <v/>
      </c>
      <c r="K33" s="9">
        <f>IF(OR(A33="",F33=0),"",J33/F33)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8">
        <f>IF(A34="","",F34-C34-D34-E34-F34*G34-H34-F34*I34)</f>
        <v/>
      </c>
      <c r="K34" s="9">
        <f>IF(OR(A34="",F34=0),"",J34/F34)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8">
        <f>IF(A35="","",F35-C35-D35-E35-F35*G35-H35-F35*I35)</f>
        <v/>
      </c>
      <c r="K35" s="9">
        <f>IF(OR(A35="",F35=0),"",J35/F35)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8">
        <f>IF(A36="","",F36-C36-D36-E36-F36*G36-H36-F36*I36)</f>
        <v/>
      </c>
      <c r="K36" s="9">
        <f>IF(OR(A36="",F36=0),"",J36/F36)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8">
        <f>IF(A37="","",F37-C37-D37-E37-F37*G37-H37-F37*I37)</f>
        <v/>
      </c>
      <c r="K37" s="9">
        <f>IF(OR(A37="",F37=0),"",J37/F37)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8">
        <f>IF(A38="","",F38-C38-D38-E38-F38*G38-H38-F38*I38)</f>
        <v/>
      </c>
      <c r="K38" s="9">
        <f>IF(OR(A38="",F38=0),"",J38/F38)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8">
        <f>IF(A39="","",F39-C39-D39-E39-F39*G39-H39-F39*I39)</f>
        <v/>
      </c>
      <c r="K39" s="9">
        <f>IF(OR(A39="",F39=0),"",J39/F39)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8">
        <f>IF(A40="","",F40-C40-D40-E40-F40*G40-H40-F40*I40)</f>
        <v/>
      </c>
      <c r="K40" s="9">
        <f>IF(OR(A40="",F40=0),"",J40/F40)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8">
        <f>IF(A41="","",F41-C41-D41-E41-F41*G41-H41-F41*I41)</f>
        <v/>
      </c>
      <c r="K41" s="9">
        <f>IF(OR(A41="",F41=0),"",J41/F41)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8">
        <f>IF(A42="","",F42-C42-D42-E42-F42*G42-H42-F42*I42)</f>
        <v/>
      </c>
      <c r="K42" s="9">
        <f>IF(OR(A42="",F42=0),"",J42/F42)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8">
        <f>IF(A43="","",F43-C43-D43-E43-F43*G43-H43-F43*I43)</f>
        <v/>
      </c>
      <c r="K43" s="9">
        <f>IF(OR(A43="",F43=0),"",J43/F43)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8">
        <f>IF(A44="","",F44-C44-D44-E44-F44*G44-H44-F44*I44)</f>
        <v/>
      </c>
      <c r="K44" s="9">
        <f>IF(OR(A44="",F44=0),"",J44/F44)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8">
        <f>IF(A45="","",F45-C45-D45-E45-F45*G45-H45-F45*I45)</f>
        <v/>
      </c>
      <c r="K45" s="9">
        <f>IF(OR(A45="",F45=0),"",J45/F45)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8">
        <f>IF(A46="","",F46-C46-D46-E46-F46*G46-H46-F46*I46)</f>
        <v/>
      </c>
      <c r="K46" s="9">
        <f>IF(OR(A46="",F46=0),"",J46/F46)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8">
        <f>IF(A47="","",F47-C47-D47-E47-F47*G47-H47-F47*I47)</f>
        <v/>
      </c>
      <c r="K47" s="9">
        <f>IF(OR(A47="",F47=0),"",J47/F47)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8">
        <f>IF(A48="","",F48-C48-D48-E48-F48*G48-H48-F48*I48)</f>
        <v/>
      </c>
      <c r="K48" s="9">
        <f>IF(OR(A48="",F48=0),"",J48/F48)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8">
        <f>IF(A49="","",F49-C49-D49-E49-F49*G49-H49-F49*I49)</f>
        <v/>
      </c>
      <c r="K49" s="9">
        <f>IF(OR(A49="",F49=0),"",J49/F49)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8">
        <f>IF(A50="","",F50-C50-D50-E50-F50*G50-H50-F50*I50)</f>
        <v/>
      </c>
      <c r="K50" s="9">
        <f>IF(OR(A50="",F50=0),"",J50/F50)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8">
        <f>IF(A51="","",F51-C51-D51-E51-F51*G51-H51-F51*I51)</f>
        <v/>
      </c>
      <c r="K51" s="9">
        <f>IF(OR(A51="",F51=0),"",J51/F51)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3" customWidth="1" min="5" max="5"/>
    <col width="13" customWidth="1" min="6" max="6"/>
    <col width="10" customWidth="1" min="7" max="7"/>
  </cols>
  <sheetData>
    <row r="1">
      <c r="A1" s="4" t="inlineStr">
        <is>
          <t>Дата</t>
        </is>
      </c>
      <c r="B1" s="4" t="inlineStr">
        <is>
          <t>Артикул</t>
        </is>
      </c>
      <c r="C1" s="4" t="inlineStr">
        <is>
          <t>Кол-во (возврат — минус)</t>
        </is>
      </c>
      <c r="D1" s="4" t="inlineStr">
        <is>
          <t>Цена продажи за шт</t>
        </is>
      </c>
      <c r="E1" s="4" t="inlineStr">
        <is>
          <t>Выручка</t>
        </is>
      </c>
      <c r="F1" s="4" t="inlineStr">
        <is>
          <t>Прибыль</t>
        </is>
      </c>
      <c r="G1" s="4" t="inlineStr">
        <is>
          <t>Месяц</t>
        </is>
      </c>
    </row>
    <row r="2">
      <c r="A2" s="10" t="n">
        <v>46266</v>
      </c>
      <c r="B2" s="5" t="inlineStr">
        <is>
          <t>A-001</t>
        </is>
      </c>
      <c r="C2" s="11" t="n">
        <v>2</v>
      </c>
      <c r="D2" s="8">
        <f>IF(B2="","",IFERROR(INDEX(Товары!$F$2:$F$51,MATCH(B2,Товары!$A$2:$A$51,0)),""))</f>
        <v/>
      </c>
      <c r="E2" s="8">
        <f>IF(OR(B2="",D2=""),"",C2*D2)</f>
        <v/>
      </c>
      <c r="F2" s="8">
        <f>IF(B2="","",IFERROR(C2*INDEX(Товары!$J$2:$J$51,MATCH(B2,Товары!$A$2:$A$51,0)),""))</f>
        <v/>
      </c>
      <c r="G2" s="2">
        <f>IF(A2="","",YEAR(A2)&amp;"-"&amp;TEXT(MONTH(A2),"00"))</f>
        <v/>
      </c>
    </row>
    <row r="3">
      <c r="A3" s="10" t="n">
        <v>46267</v>
      </c>
      <c r="B3" s="5" t="inlineStr">
        <is>
          <t>A-003</t>
        </is>
      </c>
      <c r="C3" s="11" t="n">
        <v>1</v>
      </c>
      <c r="D3" s="8">
        <f>IF(B3="","",IFERROR(INDEX(Товары!$F$2:$F$51,MATCH(B3,Товары!$A$2:$A$51,0)),""))</f>
        <v/>
      </c>
      <c r="E3" s="8">
        <f>IF(OR(B3="",D3=""),"",C3*D3)</f>
        <v/>
      </c>
      <c r="F3" s="8">
        <f>IF(B3="","",IFERROR(C3*INDEX(Товары!$J$2:$J$51,MATCH(B3,Товары!$A$2:$A$51,0)),""))</f>
        <v/>
      </c>
      <c r="G3" s="2">
        <f>IF(A3="","",YEAR(A3)&amp;"-"&amp;TEXT(MONTH(A3),"00"))</f>
        <v/>
      </c>
    </row>
    <row r="4">
      <c r="A4" s="10" t="n">
        <v>46268</v>
      </c>
      <c r="B4" s="5" t="inlineStr">
        <is>
          <t>A-002</t>
        </is>
      </c>
      <c r="C4" s="11" t="n">
        <v>3</v>
      </c>
      <c r="D4" s="8">
        <f>IF(B4="","",IFERROR(INDEX(Товары!$F$2:$F$51,MATCH(B4,Товары!$A$2:$A$51,0)),""))</f>
        <v/>
      </c>
      <c r="E4" s="8">
        <f>IF(OR(B4="",D4=""),"",C4*D4)</f>
        <v/>
      </c>
      <c r="F4" s="8">
        <f>IF(B4="","",IFERROR(C4*INDEX(Товары!$J$2:$J$51,MATCH(B4,Товары!$A$2:$A$51,0)),""))</f>
        <v/>
      </c>
      <c r="G4" s="2">
        <f>IF(A4="","",YEAR(A4)&amp;"-"&amp;TEXT(MONTH(A4),"00"))</f>
        <v/>
      </c>
    </row>
    <row r="5">
      <c r="A5" s="10" t="n">
        <v>46270</v>
      </c>
      <c r="B5" s="5" t="inlineStr">
        <is>
          <t>A-001</t>
        </is>
      </c>
      <c r="C5" s="11" t="n">
        <v>-1</v>
      </c>
      <c r="D5" s="8">
        <f>IF(B5="","",IFERROR(INDEX(Товары!$F$2:$F$51,MATCH(B5,Товары!$A$2:$A$51,0)),""))</f>
        <v/>
      </c>
      <c r="E5" s="8">
        <f>IF(OR(B5="",D5=""),"",C5*D5)</f>
        <v/>
      </c>
      <c r="F5" s="8">
        <f>IF(B5="","",IFERROR(C5*INDEX(Товары!$J$2:$J$51,MATCH(B5,Товары!$A$2:$A$51,0)),""))</f>
        <v/>
      </c>
      <c r="G5" s="2">
        <f>IF(A5="","",YEAR(A5)&amp;"-"&amp;TEXT(MONTH(A5),"00"))</f>
        <v/>
      </c>
    </row>
    <row r="6">
      <c r="A6" s="2" t="n"/>
      <c r="B6" s="2" t="n"/>
      <c r="C6" s="2" t="n"/>
      <c r="D6" s="8">
        <f>IF(B6="","",IFERROR(INDEX(Товары!$F$2:$F$51,MATCH(B6,Товары!$A$2:$A$51,0)),""))</f>
        <v/>
      </c>
      <c r="E6" s="8">
        <f>IF(OR(B6="",D6=""),"",C6*D6)</f>
        <v/>
      </c>
      <c r="F6" s="8">
        <f>IF(B6="","",IFERROR(C6*INDEX(Товары!$J$2:$J$51,MATCH(B6,Товары!$A$2:$A$51,0)),""))</f>
        <v/>
      </c>
      <c r="G6" s="2">
        <f>IF(A6="","",YEAR(A6)&amp;"-"&amp;TEXT(MONTH(A6),"00"))</f>
        <v/>
      </c>
    </row>
    <row r="7">
      <c r="A7" s="2" t="n"/>
      <c r="B7" s="2" t="n"/>
      <c r="C7" s="2" t="n"/>
      <c r="D7" s="8">
        <f>IF(B7="","",IFERROR(INDEX(Товары!$F$2:$F$51,MATCH(B7,Товары!$A$2:$A$51,0)),""))</f>
        <v/>
      </c>
      <c r="E7" s="8">
        <f>IF(OR(B7="",D7=""),"",C7*D7)</f>
        <v/>
      </c>
      <c r="F7" s="8">
        <f>IF(B7="","",IFERROR(C7*INDEX(Товары!$J$2:$J$51,MATCH(B7,Товары!$A$2:$A$51,0)),""))</f>
        <v/>
      </c>
      <c r="G7" s="2">
        <f>IF(A7="","",YEAR(A7)&amp;"-"&amp;TEXT(MONTH(A7),"00"))</f>
        <v/>
      </c>
    </row>
    <row r="8">
      <c r="A8" s="2" t="n"/>
      <c r="B8" s="2" t="n"/>
      <c r="C8" s="2" t="n"/>
      <c r="D8" s="8">
        <f>IF(B8="","",IFERROR(INDEX(Товары!$F$2:$F$51,MATCH(B8,Товары!$A$2:$A$51,0)),""))</f>
        <v/>
      </c>
      <c r="E8" s="8">
        <f>IF(OR(B8="",D8=""),"",C8*D8)</f>
        <v/>
      </c>
      <c r="F8" s="8">
        <f>IF(B8="","",IFERROR(C8*INDEX(Товары!$J$2:$J$51,MATCH(B8,Товары!$A$2:$A$51,0)),""))</f>
        <v/>
      </c>
      <c r="G8" s="2">
        <f>IF(A8="","",YEAR(A8)&amp;"-"&amp;TEXT(MONTH(A8),"00"))</f>
        <v/>
      </c>
    </row>
    <row r="9">
      <c r="A9" s="2" t="n"/>
      <c r="B9" s="2" t="n"/>
      <c r="C9" s="2" t="n"/>
      <c r="D9" s="8">
        <f>IF(B9="","",IFERROR(INDEX(Товары!$F$2:$F$51,MATCH(B9,Товары!$A$2:$A$51,0)),""))</f>
        <v/>
      </c>
      <c r="E9" s="8">
        <f>IF(OR(B9="",D9=""),"",C9*D9)</f>
        <v/>
      </c>
      <c r="F9" s="8">
        <f>IF(B9="","",IFERROR(C9*INDEX(Товары!$J$2:$J$51,MATCH(B9,Товары!$A$2:$A$51,0)),""))</f>
        <v/>
      </c>
      <c r="G9" s="2">
        <f>IF(A9="","",YEAR(A9)&amp;"-"&amp;TEXT(MONTH(A9),"00"))</f>
        <v/>
      </c>
    </row>
    <row r="10">
      <c r="A10" s="2" t="n"/>
      <c r="B10" s="2" t="n"/>
      <c r="C10" s="2" t="n"/>
      <c r="D10" s="8">
        <f>IF(B10="","",IFERROR(INDEX(Товары!$F$2:$F$51,MATCH(B10,Товары!$A$2:$A$51,0)),""))</f>
        <v/>
      </c>
      <c r="E10" s="8">
        <f>IF(OR(B10="",D10=""),"",C10*D10)</f>
        <v/>
      </c>
      <c r="F10" s="8">
        <f>IF(B10="","",IFERROR(C10*INDEX(Товары!$J$2:$J$51,MATCH(B10,Товары!$A$2:$A$51,0)),""))</f>
        <v/>
      </c>
      <c r="G10" s="2">
        <f>IF(A10="","",YEAR(A10)&amp;"-"&amp;TEXT(MONTH(A10),"00"))</f>
        <v/>
      </c>
    </row>
    <row r="11">
      <c r="A11" s="2" t="n"/>
      <c r="B11" s="2" t="n"/>
      <c r="C11" s="2" t="n"/>
      <c r="D11" s="8">
        <f>IF(B11="","",IFERROR(INDEX(Товары!$F$2:$F$51,MATCH(B11,Товары!$A$2:$A$51,0)),""))</f>
        <v/>
      </c>
      <c r="E11" s="8">
        <f>IF(OR(B11="",D11=""),"",C11*D11)</f>
        <v/>
      </c>
      <c r="F11" s="8">
        <f>IF(B11="","",IFERROR(C11*INDEX(Товары!$J$2:$J$51,MATCH(B11,Товары!$A$2:$A$51,0)),""))</f>
        <v/>
      </c>
      <c r="G11" s="2">
        <f>IF(A11="","",YEAR(A11)&amp;"-"&amp;TEXT(MONTH(A11),"00"))</f>
        <v/>
      </c>
    </row>
    <row r="12">
      <c r="A12" s="2" t="n"/>
      <c r="B12" s="2" t="n"/>
      <c r="C12" s="2" t="n"/>
      <c r="D12" s="8">
        <f>IF(B12="","",IFERROR(INDEX(Товары!$F$2:$F$51,MATCH(B12,Товары!$A$2:$A$51,0)),""))</f>
        <v/>
      </c>
      <c r="E12" s="8">
        <f>IF(OR(B12="",D12=""),"",C12*D12)</f>
        <v/>
      </c>
      <c r="F12" s="8">
        <f>IF(B12="","",IFERROR(C12*INDEX(Товары!$J$2:$J$51,MATCH(B12,Товары!$A$2:$A$51,0)),""))</f>
        <v/>
      </c>
      <c r="G12" s="2">
        <f>IF(A12="","",YEAR(A12)&amp;"-"&amp;TEXT(MONTH(A12),"00"))</f>
        <v/>
      </c>
    </row>
    <row r="13">
      <c r="A13" s="2" t="n"/>
      <c r="B13" s="2" t="n"/>
      <c r="C13" s="2" t="n"/>
      <c r="D13" s="8">
        <f>IF(B13="","",IFERROR(INDEX(Товары!$F$2:$F$51,MATCH(B13,Товары!$A$2:$A$51,0)),""))</f>
        <v/>
      </c>
      <c r="E13" s="8">
        <f>IF(OR(B13="",D13=""),"",C13*D13)</f>
        <v/>
      </c>
      <c r="F13" s="8">
        <f>IF(B13="","",IFERROR(C13*INDEX(Товары!$J$2:$J$51,MATCH(B13,Товары!$A$2:$A$51,0)),""))</f>
        <v/>
      </c>
      <c r="G13" s="2">
        <f>IF(A13="","",YEAR(A13)&amp;"-"&amp;TEXT(MONTH(A13),"00"))</f>
        <v/>
      </c>
    </row>
    <row r="14">
      <c r="A14" s="2" t="n"/>
      <c r="B14" s="2" t="n"/>
      <c r="C14" s="2" t="n"/>
      <c r="D14" s="8">
        <f>IF(B14="","",IFERROR(INDEX(Товары!$F$2:$F$51,MATCH(B14,Товары!$A$2:$A$51,0)),""))</f>
        <v/>
      </c>
      <c r="E14" s="8">
        <f>IF(OR(B14="",D14=""),"",C14*D14)</f>
        <v/>
      </c>
      <c r="F14" s="8">
        <f>IF(B14="","",IFERROR(C14*INDEX(Товары!$J$2:$J$51,MATCH(B14,Товары!$A$2:$A$51,0)),""))</f>
        <v/>
      </c>
      <c r="G14" s="2">
        <f>IF(A14="","",YEAR(A14)&amp;"-"&amp;TEXT(MONTH(A14),"00"))</f>
        <v/>
      </c>
    </row>
    <row r="15">
      <c r="A15" s="2" t="n"/>
      <c r="B15" s="2" t="n"/>
      <c r="C15" s="2" t="n"/>
      <c r="D15" s="8">
        <f>IF(B15="","",IFERROR(INDEX(Товары!$F$2:$F$51,MATCH(B15,Товары!$A$2:$A$51,0)),""))</f>
        <v/>
      </c>
      <c r="E15" s="8">
        <f>IF(OR(B15="",D15=""),"",C15*D15)</f>
        <v/>
      </c>
      <c r="F15" s="8">
        <f>IF(B15="","",IFERROR(C15*INDEX(Товары!$J$2:$J$51,MATCH(B15,Товары!$A$2:$A$51,0)),""))</f>
        <v/>
      </c>
      <c r="G15" s="2">
        <f>IF(A15="","",YEAR(A15)&amp;"-"&amp;TEXT(MONTH(A15),"00"))</f>
        <v/>
      </c>
    </row>
    <row r="16">
      <c r="A16" s="2" t="n"/>
      <c r="B16" s="2" t="n"/>
      <c r="C16" s="2" t="n"/>
      <c r="D16" s="8">
        <f>IF(B16="","",IFERROR(INDEX(Товары!$F$2:$F$51,MATCH(B16,Товары!$A$2:$A$51,0)),""))</f>
        <v/>
      </c>
      <c r="E16" s="8">
        <f>IF(OR(B16="",D16=""),"",C16*D16)</f>
        <v/>
      </c>
      <c r="F16" s="8">
        <f>IF(B16="","",IFERROR(C16*INDEX(Товары!$J$2:$J$51,MATCH(B16,Товары!$A$2:$A$51,0)),""))</f>
        <v/>
      </c>
      <c r="G16" s="2">
        <f>IF(A16="","",YEAR(A16)&amp;"-"&amp;TEXT(MONTH(A16),"00"))</f>
        <v/>
      </c>
    </row>
    <row r="17">
      <c r="A17" s="2" t="n"/>
      <c r="B17" s="2" t="n"/>
      <c r="C17" s="2" t="n"/>
      <c r="D17" s="8">
        <f>IF(B17="","",IFERROR(INDEX(Товары!$F$2:$F$51,MATCH(B17,Товары!$A$2:$A$51,0)),""))</f>
        <v/>
      </c>
      <c r="E17" s="8">
        <f>IF(OR(B17="",D17=""),"",C17*D17)</f>
        <v/>
      </c>
      <c r="F17" s="8">
        <f>IF(B17="","",IFERROR(C17*INDEX(Товары!$J$2:$J$51,MATCH(B17,Товары!$A$2:$A$51,0)),""))</f>
        <v/>
      </c>
      <c r="G17" s="2">
        <f>IF(A17="","",YEAR(A17)&amp;"-"&amp;TEXT(MONTH(A17),"00"))</f>
        <v/>
      </c>
    </row>
    <row r="18">
      <c r="A18" s="2" t="n"/>
      <c r="B18" s="2" t="n"/>
      <c r="C18" s="2" t="n"/>
      <c r="D18" s="8">
        <f>IF(B18="","",IFERROR(INDEX(Товары!$F$2:$F$51,MATCH(B18,Товары!$A$2:$A$51,0)),""))</f>
        <v/>
      </c>
      <c r="E18" s="8">
        <f>IF(OR(B18="",D18=""),"",C18*D18)</f>
        <v/>
      </c>
      <c r="F18" s="8">
        <f>IF(B18="","",IFERROR(C18*INDEX(Товары!$J$2:$J$51,MATCH(B18,Товары!$A$2:$A$51,0)),""))</f>
        <v/>
      </c>
      <c r="G18" s="2">
        <f>IF(A18="","",YEAR(A18)&amp;"-"&amp;TEXT(MONTH(A18),"00"))</f>
        <v/>
      </c>
    </row>
    <row r="19">
      <c r="A19" s="2" t="n"/>
      <c r="B19" s="2" t="n"/>
      <c r="C19" s="2" t="n"/>
      <c r="D19" s="8">
        <f>IF(B19="","",IFERROR(INDEX(Товары!$F$2:$F$51,MATCH(B19,Товары!$A$2:$A$51,0)),""))</f>
        <v/>
      </c>
      <c r="E19" s="8">
        <f>IF(OR(B19="",D19=""),"",C19*D19)</f>
        <v/>
      </c>
      <c r="F19" s="8">
        <f>IF(B19="","",IFERROR(C19*INDEX(Товары!$J$2:$J$51,MATCH(B19,Товары!$A$2:$A$51,0)),""))</f>
        <v/>
      </c>
      <c r="G19" s="2">
        <f>IF(A19="","",YEAR(A19)&amp;"-"&amp;TEXT(MONTH(A19),"00"))</f>
        <v/>
      </c>
    </row>
    <row r="20">
      <c r="A20" s="2" t="n"/>
      <c r="B20" s="2" t="n"/>
      <c r="C20" s="2" t="n"/>
      <c r="D20" s="8">
        <f>IF(B20="","",IFERROR(INDEX(Товары!$F$2:$F$51,MATCH(B20,Товары!$A$2:$A$51,0)),""))</f>
        <v/>
      </c>
      <c r="E20" s="8">
        <f>IF(OR(B20="",D20=""),"",C20*D20)</f>
        <v/>
      </c>
      <c r="F20" s="8">
        <f>IF(B20="","",IFERROR(C20*INDEX(Товары!$J$2:$J$51,MATCH(B20,Товары!$A$2:$A$51,0)),""))</f>
        <v/>
      </c>
      <c r="G20" s="2">
        <f>IF(A20="","",YEAR(A20)&amp;"-"&amp;TEXT(MONTH(A20),"00"))</f>
        <v/>
      </c>
    </row>
    <row r="21">
      <c r="A21" s="2" t="n"/>
      <c r="B21" s="2" t="n"/>
      <c r="C21" s="2" t="n"/>
      <c r="D21" s="8">
        <f>IF(B21="","",IFERROR(INDEX(Товары!$F$2:$F$51,MATCH(B21,Товары!$A$2:$A$51,0)),""))</f>
        <v/>
      </c>
      <c r="E21" s="8">
        <f>IF(OR(B21="",D21=""),"",C21*D21)</f>
        <v/>
      </c>
      <c r="F21" s="8">
        <f>IF(B21="","",IFERROR(C21*INDEX(Товары!$J$2:$J$51,MATCH(B21,Товары!$A$2:$A$51,0)),""))</f>
        <v/>
      </c>
      <c r="G21" s="2">
        <f>IF(A21="","",YEAR(A21)&amp;"-"&amp;TEXT(MONTH(A21),"00"))</f>
        <v/>
      </c>
    </row>
    <row r="22">
      <c r="A22" s="2" t="n"/>
      <c r="B22" s="2" t="n"/>
      <c r="C22" s="2" t="n"/>
      <c r="D22" s="8">
        <f>IF(B22="","",IFERROR(INDEX(Товары!$F$2:$F$51,MATCH(B22,Товары!$A$2:$A$51,0)),""))</f>
        <v/>
      </c>
      <c r="E22" s="8">
        <f>IF(OR(B22="",D22=""),"",C22*D22)</f>
        <v/>
      </c>
      <c r="F22" s="8">
        <f>IF(B22="","",IFERROR(C22*INDEX(Товары!$J$2:$J$51,MATCH(B22,Товары!$A$2:$A$51,0)),""))</f>
        <v/>
      </c>
      <c r="G22" s="2">
        <f>IF(A22="","",YEAR(A22)&amp;"-"&amp;TEXT(MONTH(A22),"00"))</f>
        <v/>
      </c>
    </row>
    <row r="23">
      <c r="A23" s="2" t="n"/>
      <c r="B23" s="2" t="n"/>
      <c r="C23" s="2" t="n"/>
      <c r="D23" s="8">
        <f>IF(B23="","",IFERROR(INDEX(Товары!$F$2:$F$51,MATCH(B23,Товары!$A$2:$A$51,0)),""))</f>
        <v/>
      </c>
      <c r="E23" s="8">
        <f>IF(OR(B23="",D23=""),"",C23*D23)</f>
        <v/>
      </c>
      <c r="F23" s="8">
        <f>IF(B23="","",IFERROR(C23*INDEX(Товары!$J$2:$J$51,MATCH(B23,Товары!$A$2:$A$51,0)),""))</f>
        <v/>
      </c>
      <c r="G23" s="2">
        <f>IF(A23="","",YEAR(A23)&amp;"-"&amp;TEXT(MONTH(A23),"00"))</f>
        <v/>
      </c>
    </row>
    <row r="24">
      <c r="A24" s="2" t="n"/>
      <c r="B24" s="2" t="n"/>
      <c r="C24" s="2" t="n"/>
      <c r="D24" s="8">
        <f>IF(B24="","",IFERROR(INDEX(Товары!$F$2:$F$51,MATCH(B24,Товары!$A$2:$A$51,0)),""))</f>
        <v/>
      </c>
      <c r="E24" s="8">
        <f>IF(OR(B24="",D24=""),"",C24*D24)</f>
        <v/>
      </c>
      <c r="F24" s="8">
        <f>IF(B24="","",IFERROR(C24*INDEX(Товары!$J$2:$J$51,MATCH(B24,Товары!$A$2:$A$51,0)),""))</f>
        <v/>
      </c>
      <c r="G24" s="2">
        <f>IF(A24="","",YEAR(A24)&amp;"-"&amp;TEXT(MONTH(A24),"00"))</f>
        <v/>
      </c>
    </row>
    <row r="25">
      <c r="A25" s="2" t="n"/>
      <c r="B25" s="2" t="n"/>
      <c r="C25" s="2" t="n"/>
      <c r="D25" s="8">
        <f>IF(B25="","",IFERROR(INDEX(Товары!$F$2:$F$51,MATCH(B25,Товары!$A$2:$A$51,0)),""))</f>
        <v/>
      </c>
      <c r="E25" s="8">
        <f>IF(OR(B25="",D25=""),"",C25*D25)</f>
        <v/>
      </c>
      <c r="F25" s="8">
        <f>IF(B25="","",IFERROR(C25*INDEX(Товары!$J$2:$J$51,MATCH(B25,Товары!$A$2:$A$51,0)),""))</f>
        <v/>
      </c>
      <c r="G25" s="2">
        <f>IF(A25="","",YEAR(A25)&amp;"-"&amp;TEXT(MONTH(A25),"00"))</f>
        <v/>
      </c>
    </row>
    <row r="26">
      <c r="A26" s="2" t="n"/>
      <c r="B26" s="2" t="n"/>
      <c r="C26" s="2" t="n"/>
      <c r="D26" s="8">
        <f>IF(B26="","",IFERROR(INDEX(Товары!$F$2:$F$51,MATCH(B26,Товары!$A$2:$A$51,0)),""))</f>
        <v/>
      </c>
      <c r="E26" s="8">
        <f>IF(OR(B26="",D26=""),"",C26*D26)</f>
        <v/>
      </c>
      <c r="F26" s="8">
        <f>IF(B26="","",IFERROR(C26*INDEX(Товары!$J$2:$J$51,MATCH(B26,Товары!$A$2:$A$51,0)),""))</f>
        <v/>
      </c>
      <c r="G26" s="2">
        <f>IF(A26="","",YEAR(A26)&amp;"-"&amp;TEXT(MONTH(A26),"00"))</f>
        <v/>
      </c>
    </row>
    <row r="27">
      <c r="A27" s="2" t="n"/>
      <c r="B27" s="2" t="n"/>
      <c r="C27" s="2" t="n"/>
      <c r="D27" s="8">
        <f>IF(B27="","",IFERROR(INDEX(Товары!$F$2:$F$51,MATCH(B27,Товары!$A$2:$A$51,0)),""))</f>
        <v/>
      </c>
      <c r="E27" s="8">
        <f>IF(OR(B27="",D27=""),"",C27*D27)</f>
        <v/>
      </c>
      <c r="F27" s="8">
        <f>IF(B27="","",IFERROR(C27*INDEX(Товары!$J$2:$J$51,MATCH(B27,Товары!$A$2:$A$51,0)),""))</f>
        <v/>
      </c>
      <c r="G27" s="2">
        <f>IF(A27="","",YEAR(A27)&amp;"-"&amp;TEXT(MONTH(A27),"00"))</f>
        <v/>
      </c>
    </row>
    <row r="28">
      <c r="A28" s="2" t="n"/>
      <c r="B28" s="2" t="n"/>
      <c r="C28" s="2" t="n"/>
      <c r="D28" s="8">
        <f>IF(B28="","",IFERROR(INDEX(Товары!$F$2:$F$51,MATCH(B28,Товары!$A$2:$A$51,0)),""))</f>
        <v/>
      </c>
      <c r="E28" s="8">
        <f>IF(OR(B28="",D28=""),"",C28*D28)</f>
        <v/>
      </c>
      <c r="F28" s="8">
        <f>IF(B28="","",IFERROR(C28*INDEX(Товары!$J$2:$J$51,MATCH(B28,Товары!$A$2:$A$51,0)),""))</f>
        <v/>
      </c>
      <c r="G28" s="2">
        <f>IF(A28="","",YEAR(A28)&amp;"-"&amp;TEXT(MONTH(A28),"00"))</f>
        <v/>
      </c>
    </row>
    <row r="29">
      <c r="A29" s="2" t="n"/>
      <c r="B29" s="2" t="n"/>
      <c r="C29" s="2" t="n"/>
      <c r="D29" s="8">
        <f>IF(B29="","",IFERROR(INDEX(Товары!$F$2:$F$51,MATCH(B29,Товары!$A$2:$A$51,0)),""))</f>
        <v/>
      </c>
      <c r="E29" s="8">
        <f>IF(OR(B29="",D29=""),"",C29*D29)</f>
        <v/>
      </c>
      <c r="F29" s="8">
        <f>IF(B29="","",IFERROR(C29*INDEX(Товары!$J$2:$J$51,MATCH(B29,Товары!$A$2:$A$51,0)),""))</f>
        <v/>
      </c>
      <c r="G29" s="2">
        <f>IF(A29="","",YEAR(A29)&amp;"-"&amp;TEXT(MONTH(A29),"00"))</f>
        <v/>
      </c>
    </row>
    <row r="30">
      <c r="A30" s="2" t="n"/>
      <c r="B30" s="2" t="n"/>
      <c r="C30" s="2" t="n"/>
      <c r="D30" s="8">
        <f>IF(B30="","",IFERROR(INDEX(Товары!$F$2:$F$51,MATCH(B30,Товары!$A$2:$A$51,0)),""))</f>
        <v/>
      </c>
      <c r="E30" s="8">
        <f>IF(OR(B30="",D30=""),"",C30*D30)</f>
        <v/>
      </c>
      <c r="F30" s="8">
        <f>IF(B30="","",IFERROR(C30*INDEX(Товары!$J$2:$J$51,MATCH(B30,Товары!$A$2:$A$51,0)),""))</f>
        <v/>
      </c>
      <c r="G30" s="2">
        <f>IF(A30="","",YEAR(A30)&amp;"-"&amp;TEXT(MONTH(A30),"00"))</f>
        <v/>
      </c>
    </row>
    <row r="31">
      <c r="A31" s="2" t="n"/>
      <c r="B31" s="2" t="n"/>
      <c r="C31" s="2" t="n"/>
      <c r="D31" s="8">
        <f>IF(B31="","",IFERROR(INDEX(Товары!$F$2:$F$51,MATCH(B31,Товары!$A$2:$A$51,0)),""))</f>
        <v/>
      </c>
      <c r="E31" s="8">
        <f>IF(OR(B31="",D31=""),"",C31*D31)</f>
        <v/>
      </c>
      <c r="F31" s="8">
        <f>IF(B31="","",IFERROR(C31*INDEX(Товары!$J$2:$J$51,MATCH(B31,Товары!$A$2:$A$51,0)),""))</f>
        <v/>
      </c>
      <c r="G31" s="2">
        <f>IF(A31="","",YEAR(A31)&amp;"-"&amp;TEXT(MONTH(A31),"00"))</f>
        <v/>
      </c>
    </row>
    <row r="32">
      <c r="A32" s="2" t="n"/>
      <c r="B32" s="2" t="n"/>
      <c r="C32" s="2" t="n"/>
      <c r="D32" s="8">
        <f>IF(B32="","",IFERROR(INDEX(Товары!$F$2:$F$51,MATCH(B32,Товары!$A$2:$A$51,0)),""))</f>
        <v/>
      </c>
      <c r="E32" s="8">
        <f>IF(OR(B32="",D32=""),"",C32*D32)</f>
        <v/>
      </c>
      <c r="F32" s="8">
        <f>IF(B32="","",IFERROR(C32*INDEX(Товары!$J$2:$J$51,MATCH(B32,Товары!$A$2:$A$51,0)),""))</f>
        <v/>
      </c>
      <c r="G32" s="2">
        <f>IF(A32="","",YEAR(A32)&amp;"-"&amp;TEXT(MONTH(A32),"00"))</f>
        <v/>
      </c>
    </row>
    <row r="33">
      <c r="A33" s="2" t="n"/>
      <c r="B33" s="2" t="n"/>
      <c r="C33" s="2" t="n"/>
      <c r="D33" s="8">
        <f>IF(B33="","",IFERROR(INDEX(Товары!$F$2:$F$51,MATCH(B33,Товары!$A$2:$A$51,0)),""))</f>
        <v/>
      </c>
      <c r="E33" s="8">
        <f>IF(OR(B33="",D33=""),"",C33*D33)</f>
        <v/>
      </c>
      <c r="F33" s="8">
        <f>IF(B33="","",IFERROR(C33*INDEX(Товары!$J$2:$J$51,MATCH(B33,Товары!$A$2:$A$51,0)),""))</f>
        <v/>
      </c>
      <c r="G33" s="2">
        <f>IF(A33="","",YEAR(A33)&amp;"-"&amp;TEXT(MONTH(A33),"00"))</f>
        <v/>
      </c>
    </row>
    <row r="34">
      <c r="A34" s="2" t="n"/>
      <c r="B34" s="2" t="n"/>
      <c r="C34" s="2" t="n"/>
      <c r="D34" s="8">
        <f>IF(B34="","",IFERROR(INDEX(Товары!$F$2:$F$51,MATCH(B34,Товары!$A$2:$A$51,0)),""))</f>
        <v/>
      </c>
      <c r="E34" s="8">
        <f>IF(OR(B34="",D34=""),"",C34*D34)</f>
        <v/>
      </c>
      <c r="F34" s="8">
        <f>IF(B34="","",IFERROR(C34*INDEX(Товары!$J$2:$J$51,MATCH(B34,Товары!$A$2:$A$51,0)),""))</f>
        <v/>
      </c>
      <c r="G34" s="2">
        <f>IF(A34="","",YEAR(A34)&amp;"-"&amp;TEXT(MONTH(A34),"00"))</f>
        <v/>
      </c>
    </row>
    <row r="35">
      <c r="A35" s="2" t="n"/>
      <c r="B35" s="2" t="n"/>
      <c r="C35" s="2" t="n"/>
      <c r="D35" s="8">
        <f>IF(B35="","",IFERROR(INDEX(Товары!$F$2:$F$51,MATCH(B35,Товары!$A$2:$A$51,0)),""))</f>
        <v/>
      </c>
      <c r="E35" s="8">
        <f>IF(OR(B35="",D35=""),"",C35*D35)</f>
        <v/>
      </c>
      <c r="F35" s="8">
        <f>IF(B35="","",IFERROR(C35*INDEX(Товары!$J$2:$J$51,MATCH(B35,Товары!$A$2:$A$51,0)),""))</f>
        <v/>
      </c>
      <c r="G35" s="2">
        <f>IF(A35="","",YEAR(A35)&amp;"-"&amp;TEXT(MONTH(A35),"00"))</f>
        <v/>
      </c>
    </row>
    <row r="36">
      <c r="A36" s="2" t="n"/>
      <c r="B36" s="2" t="n"/>
      <c r="C36" s="2" t="n"/>
      <c r="D36" s="8">
        <f>IF(B36="","",IFERROR(INDEX(Товары!$F$2:$F$51,MATCH(B36,Товары!$A$2:$A$51,0)),""))</f>
        <v/>
      </c>
      <c r="E36" s="8">
        <f>IF(OR(B36="",D36=""),"",C36*D36)</f>
        <v/>
      </c>
      <c r="F36" s="8">
        <f>IF(B36="","",IFERROR(C36*INDEX(Товары!$J$2:$J$51,MATCH(B36,Товары!$A$2:$A$51,0)),""))</f>
        <v/>
      </c>
      <c r="G36" s="2">
        <f>IF(A36="","",YEAR(A36)&amp;"-"&amp;TEXT(MONTH(A36),"00"))</f>
        <v/>
      </c>
    </row>
    <row r="37">
      <c r="A37" s="2" t="n"/>
      <c r="B37" s="2" t="n"/>
      <c r="C37" s="2" t="n"/>
      <c r="D37" s="8">
        <f>IF(B37="","",IFERROR(INDEX(Товары!$F$2:$F$51,MATCH(B37,Товары!$A$2:$A$51,0)),""))</f>
        <v/>
      </c>
      <c r="E37" s="8">
        <f>IF(OR(B37="",D37=""),"",C37*D37)</f>
        <v/>
      </c>
      <c r="F37" s="8">
        <f>IF(B37="","",IFERROR(C37*INDEX(Товары!$J$2:$J$51,MATCH(B37,Товары!$A$2:$A$51,0)),""))</f>
        <v/>
      </c>
      <c r="G37" s="2">
        <f>IF(A37="","",YEAR(A37)&amp;"-"&amp;TEXT(MONTH(A37),"00"))</f>
        <v/>
      </c>
    </row>
    <row r="38">
      <c r="A38" s="2" t="n"/>
      <c r="B38" s="2" t="n"/>
      <c r="C38" s="2" t="n"/>
      <c r="D38" s="8">
        <f>IF(B38="","",IFERROR(INDEX(Товары!$F$2:$F$51,MATCH(B38,Товары!$A$2:$A$51,0)),""))</f>
        <v/>
      </c>
      <c r="E38" s="8">
        <f>IF(OR(B38="",D38=""),"",C38*D38)</f>
        <v/>
      </c>
      <c r="F38" s="8">
        <f>IF(B38="","",IFERROR(C38*INDEX(Товары!$J$2:$J$51,MATCH(B38,Товары!$A$2:$A$51,0)),""))</f>
        <v/>
      </c>
      <c r="G38" s="2">
        <f>IF(A38="","",YEAR(A38)&amp;"-"&amp;TEXT(MONTH(A38),"00"))</f>
        <v/>
      </c>
    </row>
    <row r="39">
      <c r="A39" s="2" t="n"/>
      <c r="B39" s="2" t="n"/>
      <c r="C39" s="2" t="n"/>
      <c r="D39" s="8">
        <f>IF(B39="","",IFERROR(INDEX(Товары!$F$2:$F$51,MATCH(B39,Товары!$A$2:$A$51,0)),""))</f>
        <v/>
      </c>
      <c r="E39" s="8">
        <f>IF(OR(B39="",D39=""),"",C39*D39)</f>
        <v/>
      </c>
      <c r="F39" s="8">
        <f>IF(B39="","",IFERROR(C39*INDEX(Товары!$J$2:$J$51,MATCH(B39,Товары!$A$2:$A$51,0)),""))</f>
        <v/>
      </c>
      <c r="G39" s="2">
        <f>IF(A39="","",YEAR(A39)&amp;"-"&amp;TEXT(MONTH(A39),"00"))</f>
        <v/>
      </c>
    </row>
    <row r="40">
      <c r="A40" s="2" t="n"/>
      <c r="B40" s="2" t="n"/>
      <c r="C40" s="2" t="n"/>
      <c r="D40" s="8">
        <f>IF(B40="","",IFERROR(INDEX(Товары!$F$2:$F$51,MATCH(B40,Товары!$A$2:$A$51,0)),""))</f>
        <v/>
      </c>
      <c r="E40" s="8">
        <f>IF(OR(B40="",D40=""),"",C40*D40)</f>
        <v/>
      </c>
      <c r="F40" s="8">
        <f>IF(B40="","",IFERROR(C40*INDEX(Товары!$J$2:$J$51,MATCH(B40,Товары!$A$2:$A$51,0)),""))</f>
        <v/>
      </c>
      <c r="G40" s="2">
        <f>IF(A40="","",YEAR(A40)&amp;"-"&amp;TEXT(MONTH(A40),"00"))</f>
        <v/>
      </c>
    </row>
    <row r="41">
      <c r="A41" s="2" t="n"/>
      <c r="B41" s="2" t="n"/>
      <c r="C41" s="2" t="n"/>
      <c r="D41" s="8">
        <f>IF(B41="","",IFERROR(INDEX(Товары!$F$2:$F$51,MATCH(B41,Товары!$A$2:$A$51,0)),""))</f>
        <v/>
      </c>
      <c r="E41" s="8">
        <f>IF(OR(B41="",D41=""),"",C41*D41)</f>
        <v/>
      </c>
      <c r="F41" s="8">
        <f>IF(B41="","",IFERROR(C41*INDEX(Товары!$J$2:$J$51,MATCH(B41,Товары!$A$2:$A$51,0)),""))</f>
        <v/>
      </c>
      <c r="G41" s="2">
        <f>IF(A41="","",YEAR(A41)&amp;"-"&amp;TEXT(MONTH(A41),"00"))</f>
        <v/>
      </c>
    </row>
    <row r="42">
      <c r="A42" s="2" t="n"/>
      <c r="B42" s="2" t="n"/>
      <c r="C42" s="2" t="n"/>
      <c r="D42" s="8">
        <f>IF(B42="","",IFERROR(INDEX(Товары!$F$2:$F$51,MATCH(B42,Товары!$A$2:$A$51,0)),""))</f>
        <v/>
      </c>
      <c r="E42" s="8">
        <f>IF(OR(B42="",D42=""),"",C42*D42)</f>
        <v/>
      </c>
      <c r="F42" s="8">
        <f>IF(B42="","",IFERROR(C42*INDEX(Товары!$J$2:$J$51,MATCH(B42,Товары!$A$2:$A$51,0)),""))</f>
        <v/>
      </c>
      <c r="G42" s="2">
        <f>IF(A42="","",YEAR(A42)&amp;"-"&amp;TEXT(MONTH(A42),"00"))</f>
        <v/>
      </c>
    </row>
    <row r="43">
      <c r="A43" s="2" t="n"/>
      <c r="B43" s="2" t="n"/>
      <c r="C43" s="2" t="n"/>
      <c r="D43" s="8">
        <f>IF(B43="","",IFERROR(INDEX(Товары!$F$2:$F$51,MATCH(B43,Товары!$A$2:$A$51,0)),""))</f>
        <v/>
      </c>
      <c r="E43" s="8">
        <f>IF(OR(B43="",D43=""),"",C43*D43)</f>
        <v/>
      </c>
      <c r="F43" s="8">
        <f>IF(B43="","",IFERROR(C43*INDEX(Товары!$J$2:$J$51,MATCH(B43,Товары!$A$2:$A$51,0)),""))</f>
        <v/>
      </c>
      <c r="G43" s="2">
        <f>IF(A43="","",YEAR(A43)&amp;"-"&amp;TEXT(MONTH(A43),"00"))</f>
        <v/>
      </c>
    </row>
    <row r="44">
      <c r="A44" s="2" t="n"/>
      <c r="B44" s="2" t="n"/>
      <c r="C44" s="2" t="n"/>
      <c r="D44" s="8">
        <f>IF(B44="","",IFERROR(INDEX(Товары!$F$2:$F$51,MATCH(B44,Товары!$A$2:$A$51,0)),""))</f>
        <v/>
      </c>
      <c r="E44" s="8">
        <f>IF(OR(B44="",D44=""),"",C44*D44)</f>
        <v/>
      </c>
      <c r="F44" s="8">
        <f>IF(B44="","",IFERROR(C44*INDEX(Товары!$J$2:$J$51,MATCH(B44,Товары!$A$2:$A$51,0)),""))</f>
        <v/>
      </c>
      <c r="G44" s="2">
        <f>IF(A44="","",YEAR(A44)&amp;"-"&amp;TEXT(MONTH(A44),"00"))</f>
        <v/>
      </c>
    </row>
    <row r="45">
      <c r="A45" s="2" t="n"/>
      <c r="B45" s="2" t="n"/>
      <c r="C45" s="2" t="n"/>
      <c r="D45" s="8">
        <f>IF(B45="","",IFERROR(INDEX(Товары!$F$2:$F$51,MATCH(B45,Товары!$A$2:$A$51,0)),""))</f>
        <v/>
      </c>
      <c r="E45" s="8">
        <f>IF(OR(B45="",D45=""),"",C45*D45)</f>
        <v/>
      </c>
      <c r="F45" s="8">
        <f>IF(B45="","",IFERROR(C45*INDEX(Товары!$J$2:$J$51,MATCH(B45,Товары!$A$2:$A$51,0)),""))</f>
        <v/>
      </c>
      <c r="G45" s="2">
        <f>IF(A45="","",YEAR(A45)&amp;"-"&amp;TEXT(MONTH(A45),"00"))</f>
        <v/>
      </c>
    </row>
    <row r="46">
      <c r="A46" s="2" t="n"/>
      <c r="B46" s="2" t="n"/>
      <c r="C46" s="2" t="n"/>
      <c r="D46" s="8">
        <f>IF(B46="","",IFERROR(INDEX(Товары!$F$2:$F$51,MATCH(B46,Товары!$A$2:$A$51,0)),""))</f>
        <v/>
      </c>
      <c r="E46" s="8">
        <f>IF(OR(B46="",D46=""),"",C46*D46)</f>
        <v/>
      </c>
      <c r="F46" s="8">
        <f>IF(B46="","",IFERROR(C46*INDEX(Товары!$J$2:$J$51,MATCH(B46,Товары!$A$2:$A$51,0)),""))</f>
        <v/>
      </c>
      <c r="G46" s="2">
        <f>IF(A46="","",YEAR(A46)&amp;"-"&amp;TEXT(MONTH(A46),"00"))</f>
        <v/>
      </c>
    </row>
    <row r="47">
      <c r="A47" s="2" t="n"/>
      <c r="B47" s="2" t="n"/>
      <c r="C47" s="2" t="n"/>
      <c r="D47" s="8">
        <f>IF(B47="","",IFERROR(INDEX(Товары!$F$2:$F$51,MATCH(B47,Товары!$A$2:$A$51,0)),""))</f>
        <v/>
      </c>
      <c r="E47" s="8">
        <f>IF(OR(B47="",D47=""),"",C47*D47)</f>
        <v/>
      </c>
      <c r="F47" s="8">
        <f>IF(B47="","",IFERROR(C47*INDEX(Товары!$J$2:$J$51,MATCH(B47,Товары!$A$2:$A$51,0)),""))</f>
        <v/>
      </c>
      <c r="G47" s="2">
        <f>IF(A47="","",YEAR(A47)&amp;"-"&amp;TEXT(MONTH(A47),"00"))</f>
        <v/>
      </c>
    </row>
    <row r="48">
      <c r="A48" s="2" t="n"/>
      <c r="B48" s="2" t="n"/>
      <c r="C48" s="2" t="n"/>
      <c r="D48" s="8">
        <f>IF(B48="","",IFERROR(INDEX(Товары!$F$2:$F$51,MATCH(B48,Товары!$A$2:$A$51,0)),""))</f>
        <v/>
      </c>
      <c r="E48" s="8">
        <f>IF(OR(B48="",D48=""),"",C48*D48)</f>
        <v/>
      </c>
      <c r="F48" s="8">
        <f>IF(B48="","",IFERROR(C48*INDEX(Товары!$J$2:$J$51,MATCH(B48,Товары!$A$2:$A$51,0)),""))</f>
        <v/>
      </c>
      <c r="G48" s="2">
        <f>IF(A48="","",YEAR(A48)&amp;"-"&amp;TEXT(MONTH(A48),"00"))</f>
        <v/>
      </c>
    </row>
    <row r="49">
      <c r="A49" s="2" t="n"/>
      <c r="B49" s="2" t="n"/>
      <c r="C49" s="2" t="n"/>
      <c r="D49" s="8">
        <f>IF(B49="","",IFERROR(INDEX(Товары!$F$2:$F$51,MATCH(B49,Товары!$A$2:$A$51,0)),""))</f>
        <v/>
      </c>
      <c r="E49" s="8">
        <f>IF(OR(B49="",D49=""),"",C49*D49)</f>
        <v/>
      </c>
      <c r="F49" s="8">
        <f>IF(B49="","",IFERROR(C49*INDEX(Товары!$J$2:$J$51,MATCH(B49,Товары!$A$2:$A$51,0)),""))</f>
        <v/>
      </c>
      <c r="G49" s="2">
        <f>IF(A49="","",YEAR(A49)&amp;"-"&amp;TEXT(MONTH(A49),"00"))</f>
        <v/>
      </c>
    </row>
    <row r="50">
      <c r="A50" s="2" t="n"/>
      <c r="B50" s="2" t="n"/>
      <c r="C50" s="2" t="n"/>
      <c r="D50" s="8">
        <f>IF(B50="","",IFERROR(INDEX(Товары!$F$2:$F$51,MATCH(B50,Товары!$A$2:$A$51,0)),""))</f>
        <v/>
      </c>
      <c r="E50" s="8">
        <f>IF(OR(B50="",D50=""),"",C50*D50)</f>
        <v/>
      </c>
      <c r="F50" s="8">
        <f>IF(B50="","",IFERROR(C50*INDEX(Товары!$J$2:$J$51,MATCH(B50,Товары!$A$2:$A$51,0)),""))</f>
        <v/>
      </c>
      <c r="G50" s="2">
        <f>IF(A50="","",YEAR(A50)&amp;"-"&amp;TEXT(MONTH(A50),"00"))</f>
        <v/>
      </c>
    </row>
    <row r="51">
      <c r="A51" s="2" t="n"/>
      <c r="B51" s="2" t="n"/>
      <c r="C51" s="2" t="n"/>
      <c r="D51" s="8">
        <f>IF(B51="","",IFERROR(INDEX(Товары!$F$2:$F$51,MATCH(B51,Товары!$A$2:$A$51,0)),""))</f>
        <v/>
      </c>
      <c r="E51" s="8">
        <f>IF(OR(B51="",D51=""),"",C51*D51)</f>
        <v/>
      </c>
      <c r="F51" s="8">
        <f>IF(B51="","",IFERROR(C51*INDEX(Товары!$J$2:$J$51,MATCH(B51,Товары!$A$2:$A$51,0)),""))</f>
        <v/>
      </c>
      <c r="G51" s="2">
        <f>IF(A51="","",YEAR(A51)&amp;"-"&amp;TEXT(MONTH(A51),"00"))</f>
        <v/>
      </c>
    </row>
    <row r="52">
      <c r="A52" s="2" t="n"/>
      <c r="B52" s="2" t="n"/>
      <c r="C52" s="2" t="n"/>
      <c r="D52" s="8">
        <f>IF(B52="","",IFERROR(INDEX(Товары!$F$2:$F$51,MATCH(B52,Товары!$A$2:$A$51,0)),""))</f>
        <v/>
      </c>
      <c r="E52" s="8">
        <f>IF(OR(B52="",D52=""),"",C52*D52)</f>
        <v/>
      </c>
      <c r="F52" s="8">
        <f>IF(B52="","",IFERROR(C52*INDEX(Товары!$J$2:$J$51,MATCH(B52,Товары!$A$2:$A$51,0)),""))</f>
        <v/>
      </c>
      <c r="G52" s="2">
        <f>IF(A52="","",YEAR(A52)&amp;"-"&amp;TEXT(MONTH(A52),"00"))</f>
        <v/>
      </c>
    </row>
    <row r="53">
      <c r="A53" s="2" t="n"/>
      <c r="B53" s="2" t="n"/>
      <c r="C53" s="2" t="n"/>
      <c r="D53" s="8">
        <f>IF(B53="","",IFERROR(INDEX(Товары!$F$2:$F$51,MATCH(B53,Товары!$A$2:$A$51,0)),""))</f>
        <v/>
      </c>
      <c r="E53" s="8">
        <f>IF(OR(B53="",D53=""),"",C53*D53)</f>
        <v/>
      </c>
      <c r="F53" s="8">
        <f>IF(B53="","",IFERROR(C53*INDEX(Товары!$J$2:$J$51,MATCH(B53,Товары!$A$2:$A$51,0)),""))</f>
        <v/>
      </c>
      <c r="G53" s="2">
        <f>IF(A53="","",YEAR(A53)&amp;"-"&amp;TEXT(MONTH(A53),"00"))</f>
        <v/>
      </c>
    </row>
    <row r="54">
      <c r="A54" s="2" t="n"/>
      <c r="B54" s="2" t="n"/>
      <c r="C54" s="2" t="n"/>
      <c r="D54" s="8">
        <f>IF(B54="","",IFERROR(INDEX(Товары!$F$2:$F$51,MATCH(B54,Товары!$A$2:$A$51,0)),""))</f>
        <v/>
      </c>
      <c r="E54" s="8">
        <f>IF(OR(B54="",D54=""),"",C54*D54)</f>
        <v/>
      </c>
      <c r="F54" s="8">
        <f>IF(B54="","",IFERROR(C54*INDEX(Товары!$J$2:$J$51,MATCH(B54,Товары!$A$2:$A$51,0)),""))</f>
        <v/>
      </c>
      <c r="G54" s="2">
        <f>IF(A54="","",YEAR(A54)&amp;"-"&amp;TEXT(MONTH(A54),"00"))</f>
        <v/>
      </c>
    </row>
    <row r="55">
      <c r="A55" s="2" t="n"/>
      <c r="B55" s="2" t="n"/>
      <c r="C55" s="2" t="n"/>
      <c r="D55" s="8">
        <f>IF(B55="","",IFERROR(INDEX(Товары!$F$2:$F$51,MATCH(B55,Товары!$A$2:$A$51,0)),""))</f>
        <v/>
      </c>
      <c r="E55" s="8">
        <f>IF(OR(B55="",D55=""),"",C55*D55)</f>
        <v/>
      </c>
      <c r="F55" s="8">
        <f>IF(B55="","",IFERROR(C55*INDEX(Товары!$J$2:$J$51,MATCH(B55,Товары!$A$2:$A$51,0)),""))</f>
        <v/>
      </c>
      <c r="G55" s="2">
        <f>IF(A55="","",YEAR(A55)&amp;"-"&amp;TEXT(MONTH(A55),"00"))</f>
        <v/>
      </c>
    </row>
    <row r="56">
      <c r="A56" s="2" t="n"/>
      <c r="B56" s="2" t="n"/>
      <c r="C56" s="2" t="n"/>
      <c r="D56" s="8">
        <f>IF(B56="","",IFERROR(INDEX(Товары!$F$2:$F$51,MATCH(B56,Товары!$A$2:$A$51,0)),""))</f>
        <v/>
      </c>
      <c r="E56" s="8">
        <f>IF(OR(B56="",D56=""),"",C56*D56)</f>
        <v/>
      </c>
      <c r="F56" s="8">
        <f>IF(B56="","",IFERROR(C56*INDEX(Товары!$J$2:$J$51,MATCH(B56,Товары!$A$2:$A$51,0)),""))</f>
        <v/>
      </c>
      <c r="G56" s="2">
        <f>IF(A56="","",YEAR(A56)&amp;"-"&amp;TEXT(MONTH(A56),"00"))</f>
        <v/>
      </c>
    </row>
    <row r="57">
      <c r="A57" s="2" t="n"/>
      <c r="B57" s="2" t="n"/>
      <c r="C57" s="2" t="n"/>
      <c r="D57" s="8">
        <f>IF(B57="","",IFERROR(INDEX(Товары!$F$2:$F$51,MATCH(B57,Товары!$A$2:$A$51,0)),""))</f>
        <v/>
      </c>
      <c r="E57" s="8">
        <f>IF(OR(B57="",D57=""),"",C57*D57)</f>
        <v/>
      </c>
      <c r="F57" s="8">
        <f>IF(B57="","",IFERROR(C57*INDEX(Товары!$J$2:$J$51,MATCH(B57,Товары!$A$2:$A$51,0)),""))</f>
        <v/>
      </c>
      <c r="G57" s="2">
        <f>IF(A57="","",YEAR(A57)&amp;"-"&amp;TEXT(MONTH(A57),"00"))</f>
        <v/>
      </c>
    </row>
    <row r="58">
      <c r="A58" s="2" t="n"/>
      <c r="B58" s="2" t="n"/>
      <c r="C58" s="2" t="n"/>
      <c r="D58" s="8">
        <f>IF(B58="","",IFERROR(INDEX(Товары!$F$2:$F$51,MATCH(B58,Товары!$A$2:$A$51,0)),""))</f>
        <v/>
      </c>
      <c r="E58" s="8">
        <f>IF(OR(B58="",D58=""),"",C58*D58)</f>
        <v/>
      </c>
      <c r="F58" s="8">
        <f>IF(B58="","",IFERROR(C58*INDEX(Товары!$J$2:$J$51,MATCH(B58,Товары!$A$2:$A$51,0)),""))</f>
        <v/>
      </c>
      <c r="G58" s="2">
        <f>IF(A58="","",YEAR(A58)&amp;"-"&amp;TEXT(MONTH(A58),"00"))</f>
        <v/>
      </c>
    </row>
    <row r="59">
      <c r="A59" s="2" t="n"/>
      <c r="B59" s="2" t="n"/>
      <c r="C59" s="2" t="n"/>
      <c r="D59" s="8">
        <f>IF(B59="","",IFERROR(INDEX(Товары!$F$2:$F$51,MATCH(B59,Товары!$A$2:$A$51,0)),""))</f>
        <v/>
      </c>
      <c r="E59" s="8">
        <f>IF(OR(B59="",D59=""),"",C59*D59)</f>
        <v/>
      </c>
      <c r="F59" s="8">
        <f>IF(B59="","",IFERROR(C59*INDEX(Товары!$J$2:$J$51,MATCH(B59,Товары!$A$2:$A$51,0)),""))</f>
        <v/>
      </c>
      <c r="G59" s="2">
        <f>IF(A59="","",YEAR(A59)&amp;"-"&amp;TEXT(MONTH(A59),"00"))</f>
        <v/>
      </c>
    </row>
    <row r="60">
      <c r="A60" s="2" t="n"/>
      <c r="B60" s="2" t="n"/>
      <c r="C60" s="2" t="n"/>
      <c r="D60" s="8">
        <f>IF(B60="","",IFERROR(INDEX(Товары!$F$2:$F$51,MATCH(B60,Товары!$A$2:$A$51,0)),""))</f>
        <v/>
      </c>
      <c r="E60" s="8">
        <f>IF(OR(B60="",D60=""),"",C60*D60)</f>
        <v/>
      </c>
      <c r="F60" s="8">
        <f>IF(B60="","",IFERROR(C60*INDEX(Товары!$J$2:$J$51,MATCH(B60,Товары!$A$2:$A$51,0)),""))</f>
        <v/>
      </c>
      <c r="G60" s="2">
        <f>IF(A60="","",YEAR(A60)&amp;"-"&amp;TEXT(MONTH(A60),"00"))</f>
        <v/>
      </c>
    </row>
    <row r="61">
      <c r="A61" s="2" t="n"/>
      <c r="B61" s="2" t="n"/>
      <c r="C61" s="2" t="n"/>
      <c r="D61" s="8">
        <f>IF(B61="","",IFERROR(INDEX(Товары!$F$2:$F$51,MATCH(B61,Товары!$A$2:$A$51,0)),""))</f>
        <v/>
      </c>
      <c r="E61" s="8">
        <f>IF(OR(B61="",D61=""),"",C61*D61)</f>
        <v/>
      </c>
      <c r="F61" s="8">
        <f>IF(B61="","",IFERROR(C61*INDEX(Товары!$J$2:$J$51,MATCH(B61,Товары!$A$2:$A$51,0)),""))</f>
        <v/>
      </c>
      <c r="G61" s="2">
        <f>IF(A61="","",YEAR(A61)&amp;"-"&amp;TEXT(MONTH(A61),"00"))</f>
        <v/>
      </c>
    </row>
    <row r="62">
      <c r="A62" s="2" t="n"/>
      <c r="B62" s="2" t="n"/>
      <c r="C62" s="2" t="n"/>
      <c r="D62" s="8">
        <f>IF(B62="","",IFERROR(INDEX(Товары!$F$2:$F$51,MATCH(B62,Товары!$A$2:$A$51,0)),""))</f>
        <v/>
      </c>
      <c r="E62" s="8">
        <f>IF(OR(B62="",D62=""),"",C62*D62)</f>
        <v/>
      </c>
      <c r="F62" s="8">
        <f>IF(B62="","",IFERROR(C62*INDEX(Товары!$J$2:$J$51,MATCH(B62,Товары!$A$2:$A$51,0)),""))</f>
        <v/>
      </c>
      <c r="G62" s="2">
        <f>IF(A62="","",YEAR(A62)&amp;"-"&amp;TEXT(MONTH(A62),"00"))</f>
        <v/>
      </c>
    </row>
    <row r="63">
      <c r="A63" s="2" t="n"/>
      <c r="B63" s="2" t="n"/>
      <c r="C63" s="2" t="n"/>
      <c r="D63" s="8">
        <f>IF(B63="","",IFERROR(INDEX(Товары!$F$2:$F$51,MATCH(B63,Товары!$A$2:$A$51,0)),""))</f>
        <v/>
      </c>
      <c r="E63" s="8">
        <f>IF(OR(B63="",D63=""),"",C63*D63)</f>
        <v/>
      </c>
      <c r="F63" s="8">
        <f>IF(B63="","",IFERROR(C63*INDEX(Товары!$J$2:$J$51,MATCH(B63,Товары!$A$2:$A$51,0)),""))</f>
        <v/>
      </c>
      <c r="G63" s="2">
        <f>IF(A63="","",YEAR(A63)&amp;"-"&amp;TEXT(MONTH(A63),"00"))</f>
        <v/>
      </c>
    </row>
    <row r="64">
      <c r="A64" s="2" t="n"/>
      <c r="B64" s="2" t="n"/>
      <c r="C64" s="2" t="n"/>
      <c r="D64" s="8">
        <f>IF(B64="","",IFERROR(INDEX(Товары!$F$2:$F$51,MATCH(B64,Товары!$A$2:$A$51,0)),""))</f>
        <v/>
      </c>
      <c r="E64" s="8">
        <f>IF(OR(B64="",D64=""),"",C64*D64)</f>
        <v/>
      </c>
      <c r="F64" s="8">
        <f>IF(B64="","",IFERROR(C64*INDEX(Товары!$J$2:$J$51,MATCH(B64,Товары!$A$2:$A$51,0)),""))</f>
        <v/>
      </c>
      <c r="G64" s="2">
        <f>IF(A64="","",YEAR(A64)&amp;"-"&amp;TEXT(MONTH(A64),"00"))</f>
        <v/>
      </c>
    </row>
    <row r="65">
      <c r="A65" s="2" t="n"/>
      <c r="B65" s="2" t="n"/>
      <c r="C65" s="2" t="n"/>
      <c r="D65" s="8">
        <f>IF(B65="","",IFERROR(INDEX(Товары!$F$2:$F$51,MATCH(B65,Товары!$A$2:$A$51,0)),""))</f>
        <v/>
      </c>
      <c r="E65" s="8">
        <f>IF(OR(B65="",D65=""),"",C65*D65)</f>
        <v/>
      </c>
      <c r="F65" s="8">
        <f>IF(B65="","",IFERROR(C65*INDEX(Товары!$J$2:$J$51,MATCH(B65,Товары!$A$2:$A$51,0)),""))</f>
        <v/>
      </c>
      <c r="G65" s="2">
        <f>IF(A65="","",YEAR(A65)&amp;"-"&amp;TEXT(MONTH(A65),"00"))</f>
        <v/>
      </c>
    </row>
    <row r="66">
      <c r="A66" s="2" t="n"/>
      <c r="B66" s="2" t="n"/>
      <c r="C66" s="2" t="n"/>
      <c r="D66" s="8">
        <f>IF(B66="","",IFERROR(INDEX(Товары!$F$2:$F$51,MATCH(B66,Товары!$A$2:$A$51,0)),""))</f>
        <v/>
      </c>
      <c r="E66" s="8">
        <f>IF(OR(B66="",D66=""),"",C66*D66)</f>
        <v/>
      </c>
      <c r="F66" s="8">
        <f>IF(B66="","",IFERROR(C66*INDEX(Товары!$J$2:$J$51,MATCH(B66,Товары!$A$2:$A$51,0)),""))</f>
        <v/>
      </c>
      <c r="G66" s="2">
        <f>IF(A66="","",YEAR(A66)&amp;"-"&amp;TEXT(MONTH(A66),"00"))</f>
        <v/>
      </c>
    </row>
    <row r="67">
      <c r="A67" s="2" t="n"/>
      <c r="B67" s="2" t="n"/>
      <c r="C67" s="2" t="n"/>
      <c r="D67" s="8">
        <f>IF(B67="","",IFERROR(INDEX(Товары!$F$2:$F$51,MATCH(B67,Товары!$A$2:$A$51,0)),""))</f>
        <v/>
      </c>
      <c r="E67" s="8">
        <f>IF(OR(B67="",D67=""),"",C67*D67)</f>
        <v/>
      </c>
      <c r="F67" s="8">
        <f>IF(B67="","",IFERROR(C67*INDEX(Товары!$J$2:$J$51,MATCH(B67,Товары!$A$2:$A$51,0)),""))</f>
        <v/>
      </c>
      <c r="G67" s="2">
        <f>IF(A67="","",YEAR(A67)&amp;"-"&amp;TEXT(MONTH(A67),"00"))</f>
        <v/>
      </c>
    </row>
    <row r="68">
      <c r="A68" s="2" t="n"/>
      <c r="B68" s="2" t="n"/>
      <c r="C68" s="2" t="n"/>
      <c r="D68" s="8">
        <f>IF(B68="","",IFERROR(INDEX(Товары!$F$2:$F$51,MATCH(B68,Товары!$A$2:$A$51,0)),""))</f>
        <v/>
      </c>
      <c r="E68" s="8">
        <f>IF(OR(B68="",D68=""),"",C68*D68)</f>
        <v/>
      </c>
      <c r="F68" s="8">
        <f>IF(B68="","",IFERROR(C68*INDEX(Товары!$J$2:$J$51,MATCH(B68,Товары!$A$2:$A$51,0)),""))</f>
        <v/>
      </c>
      <c r="G68" s="2">
        <f>IF(A68="","",YEAR(A68)&amp;"-"&amp;TEXT(MONTH(A68),"00"))</f>
        <v/>
      </c>
    </row>
    <row r="69">
      <c r="A69" s="2" t="n"/>
      <c r="B69" s="2" t="n"/>
      <c r="C69" s="2" t="n"/>
      <c r="D69" s="8">
        <f>IF(B69="","",IFERROR(INDEX(Товары!$F$2:$F$51,MATCH(B69,Товары!$A$2:$A$51,0)),""))</f>
        <v/>
      </c>
      <c r="E69" s="8">
        <f>IF(OR(B69="",D69=""),"",C69*D69)</f>
        <v/>
      </c>
      <c r="F69" s="8">
        <f>IF(B69="","",IFERROR(C69*INDEX(Товары!$J$2:$J$51,MATCH(B69,Товары!$A$2:$A$51,0)),""))</f>
        <v/>
      </c>
      <c r="G69" s="2">
        <f>IF(A69="","",YEAR(A69)&amp;"-"&amp;TEXT(MONTH(A69),"00"))</f>
        <v/>
      </c>
    </row>
    <row r="70">
      <c r="A70" s="2" t="n"/>
      <c r="B70" s="2" t="n"/>
      <c r="C70" s="2" t="n"/>
      <c r="D70" s="8">
        <f>IF(B70="","",IFERROR(INDEX(Товары!$F$2:$F$51,MATCH(B70,Товары!$A$2:$A$51,0)),""))</f>
        <v/>
      </c>
      <c r="E70" s="8">
        <f>IF(OR(B70="",D70=""),"",C70*D70)</f>
        <v/>
      </c>
      <c r="F70" s="8">
        <f>IF(B70="","",IFERROR(C70*INDEX(Товары!$J$2:$J$51,MATCH(B70,Товары!$A$2:$A$51,0)),""))</f>
        <v/>
      </c>
      <c r="G70" s="2">
        <f>IF(A70="","",YEAR(A70)&amp;"-"&amp;TEXT(MONTH(A70),"00"))</f>
        <v/>
      </c>
    </row>
    <row r="71">
      <c r="A71" s="2" t="n"/>
      <c r="B71" s="2" t="n"/>
      <c r="C71" s="2" t="n"/>
      <c r="D71" s="8">
        <f>IF(B71="","",IFERROR(INDEX(Товары!$F$2:$F$51,MATCH(B71,Товары!$A$2:$A$51,0)),""))</f>
        <v/>
      </c>
      <c r="E71" s="8">
        <f>IF(OR(B71="",D71=""),"",C71*D71)</f>
        <v/>
      </c>
      <c r="F71" s="8">
        <f>IF(B71="","",IFERROR(C71*INDEX(Товары!$J$2:$J$51,MATCH(B71,Товары!$A$2:$A$51,0)),""))</f>
        <v/>
      </c>
      <c r="G71" s="2">
        <f>IF(A71="","",YEAR(A71)&amp;"-"&amp;TEXT(MONTH(A71),"00"))</f>
        <v/>
      </c>
    </row>
    <row r="72">
      <c r="A72" s="2" t="n"/>
      <c r="B72" s="2" t="n"/>
      <c r="C72" s="2" t="n"/>
      <c r="D72" s="8">
        <f>IF(B72="","",IFERROR(INDEX(Товары!$F$2:$F$51,MATCH(B72,Товары!$A$2:$A$51,0)),""))</f>
        <v/>
      </c>
      <c r="E72" s="8">
        <f>IF(OR(B72="",D72=""),"",C72*D72)</f>
        <v/>
      </c>
      <c r="F72" s="8">
        <f>IF(B72="","",IFERROR(C72*INDEX(Товары!$J$2:$J$51,MATCH(B72,Товары!$A$2:$A$51,0)),""))</f>
        <v/>
      </c>
      <c r="G72" s="2">
        <f>IF(A72="","",YEAR(A72)&amp;"-"&amp;TEXT(MONTH(A72),"00"))</f>
        <v/>
      </c>
    </row>
    <row r="73">
      <c r="A73" s="2" t="n"/>
      <c r="B73" s="2" t="n"/>
      <c r="C73" s="2" t="n"/>
      <c r="D73" s="8">
        <f>IF(B73="","",IFERROR(INDEX(Товары!$F$2:$F$51,MATCH(B73,Товары!$A$2:$A$51,0)),""))</f>
        <v/>
      </c>
      <c r="E73" s="8">
        <f>IF(OR(B73="",D73=""),"",C73*D73)</f>
        <v/>
      </c>
      <c r="F73" s="8">
        <f>IF(B73="","",IFERROR(C73*INDEX(Товары!$J$2:$J$51,MATCH(B73,Товары!$A$2:$A$51,0)),""))</f>
        <v/>
      </c>
      <c r="G73" s="2">
        <f>IF(A73="","",YEAR(A73)&amp;"-"&amp;TEXT(MONTH(A73),"00"))</f>
        <v/>
      </c>
    </row>
    <row r="74">
      <c r="A74" s="2" t="n"/>
      <c r="B74" s="2" t="n"/>
      <c r="C74" s="2" t="n"/>
      <c r="D74" s="8">
        <f>IF(B74="","",IFERROR(INDEX(Товары!$F$2:$F$51,MATCH(B74,Товары!$A$2:$A$51,0)),""))</f>
        <v/>
      </c>
      <c r="E74" s="8">
        <f>IF(OR(B74="",D74=""),"",C74*D74)</f>
        <v/>
      </c>
      <c r="F74" s="8">
        <f>IF(B74="","",IFERROR(C74*INDEX(Товары!$J$2:$J$51,MATCH(B74,Товары!$A$2:$A$51,0)),""))</f>
        <v/>
      </c>
      <c r="G74" s="2">
        <f>IF(A74="","",YEAR(A74)&amp;"-"&amp;TEXT(MONTH(A74),"00"))</f>
        <v/>
      </c>
    </row>
    <row r="75">
      <c r="A75" s="2" t="n"/>
      <c r="B75" s="2" t="n"/>
      <c r="C75" s="2" t="n"/>
      <c r="D75" s="8">
        <f>IF(B75="","",IFERROR(INDEX(Товары!$F$2:$F$51,MATCH(B75,Товары!$A$2:$A$51,0)),""))</f>
        <v/>
      </c>
      <c r="E75" s="8">
        <f>IF(OR(B75="",D75=""),"",C75*D75)</f>
        <v/>
      </c>
      <c r="F75" s="8">
        <f>IF(B75="","",IFERROR(C75*INDEX(Товары!$J$2:$J$51,MATCH(B75,Товары!$A$2:$A$51,0)),""))</f>
        <v/>
      </c>
      <c r="G75" s="2">
        <f>IF(A75="","",YEAR(A75)&amp;"-"&amp;TEXT(MONTH(A75),"00"))</f>
        <v/>
      </c>
    </row>
    <row r="76">
      <c r="A76" s="2" t="n"/>
      <c r="B76" s="2" t="n"/>
      <c r="C76" s="2" t="n"/>
      <c r="D76" s="8">
        <f>IF(B76="","",IFERROR(INDEX(Товары!$F$2:$F$51,MATCH(B76,Товары!$A$2:$A$51,0)),""))</f>
        <v/>
      </c>
      <c r="E76" s="8">
        <f>IF(OR(B76="",D76=""),"",C76*D76)</f>
        <v/>
      </c>
      <c r="F76" s="8">
        <f>IF(B76="","",IFERROR(C76*INDEX(Товары!$J$2:$J$51,MATCH(B76,Товары!$A$2:$A$51,0)),""))</f>
        <v/>
      </c>
      <c r="G76" s="2">
        <f>IF(A76="","",YEAR(A76)&amp;"-"&amp;TEXT(MONTH(A76),"00"))</f>
        <v/>
      </c>
    </row>
    <row r="77">
      <c r="A77" s="2" t="n"/>
      <c r="B77" s="2" t="n"/>
      <c r="C77" s="2" t="n"/>
      <c r="D77" s="8">
        <f>IF(B77="","",IFERROR(INDEX(Товары!$F$2:$F$51,MATCH(B77,Товары!$A$2:$A$51,0)),""))</f>
        <v/>
      </c>
      <c r="E77" s="8">
        <f>IF(OR(B77="",D77=""),"",C77*D77)</f>
        <v/>
      </c>
      <c r="F77" s="8">
        <f>IF(B77="","",IFERROR(C77*INDEX(Товары!$J$2:$J$51,MATCH(B77,Товары!$A$2:$A$51,0)),""))</f>
        <v/>
      </c>
      <c r="G77" s="2">
        <f>IF(A77="","",YEAR(A77)&amp;"-"&amp;TEXT(MONTH(A77),"00"))</f>
        <v/>
      </c>
    </row>
    <row r="78">
      <c r="A78" s="2" t="n"/>
      <c r="B78" s="2" t="n"/>
      <c r="C78" s="2" t="n"/>
      <c r="D78" s="8">
        <f>IF(B78="","",IFERROR(INDEX(Товары!$F$2:$F$51,MATCH(B78,Товары!$A$2:$A$51,0)),""))</f>
        <v/>
      </c>
      <c r="E78" s="8">
        <f>IF(OR(B78="",D78=""),"",C78*D78)</f>
        <v/>
      </c>
      <c r="F78" s="8">
        <f>IF(B78="","",IFERROR(C78*INDEX(Товары!$J$2:$J$51,MATCH(B78,Товары!$A$2:$A$51,0)),""))</f>
        <v/>
      </c>
      <c r="G78" s="2">
        <f>IF(A78="","",YEAR(A78)&amp;"-"&amp;TEXT(MONTH(A78),"00"))</f>
        <v/>
      </c>
    </row>
    <row r="79">
      <c r="A79" s="2" t="n"/>
      <c r="B79" s="2" t="n"/>
      <c r="C79" s="2" t="n"/>
      <c r="D79" s="8">
        <f>IF(B79="","",IFERROR(INDEX(Товары!$F$2:$F$51,MATCH(B79,Товары!$A$2:$A$51,0)),""))</f>
        <v/>
      </c>
      <c r="E79" s="8">
        <f>IF(OR(B79="",D79=""),"",C79*D79)</f>
        <v/>
      </c>
      <c r="F79" s="8">
        <f>IF(B79="","",IFERROR(C79*INDEX(Товары!$J$2:$J$51,MATCH(B79,Товары!$A$2:$A$51,0)),""))</f>
        <v/>
      </c>
      <c r="G79" s="2">
        <f>IF(A79="","",YEAR(A79)&amp;"-"&amp;TEXT(MONTH(A79),"00"))</f>
        <v/>
      </c>
    </row>
    <row r="80">
      <c r="A80" s="2" t="n"/>
      <c r="B80" s="2" t="n"/>
      <c r="C80" s="2" t="n"/>
      <c r="D80" s="8">
        <f>IF(B80="","",IFERROR(INDEX(Товары!$F$2:$F$51,MATCH(B80,Товары!$A$2:$A$51,0)),""))</f>
        <v/>
      </c>
      <c r="E80" s="8">
        <f>IF(OR(B80="",D80=""),"",C80*D80)</f>
        <v/>
      </c>
      <c r="F80" s="8">
        <f>IF(B80="","",IFERROR(C80*INDEX(Товары!$J$2:$J$51,MATCH(B80,Товары!$A$2:$A$51,0)),""))</f>
        <v/>
      </c>
      <c r="G80" s="2">
        <f>IF(A80="","",YEAR(A80)&amp;"-"&amp;TEXT(MONTH(A80),"00"))</f>
        <v/>
      </c>
    </row>
    <row r="81">
      <c r="A81" s="2" t="n"/>
      <c r="B81" s="2" t="n"/>
      <c r="C81" s="2" t="n"/>
      <c r="D81" s="8">
        <f>IF(B81="","",IFERROR(INDEX(Товары!$F$2:$F$51,MATCH(B81,Товары!$A$2:$A$51,0)),""))</f>
        <v/>
      </c>
      <c r="E81" s="8">
        <f>IF(OR(B81="",D81=""),"",C81*D81)</f>
        <v/>
      </c>
      <c r="F81" s="8">
        <f>IF(B81="","",IFERROR(C81*INDEX(Товары!$J$2:$J$51,MATCH(B81,Товары!$A$2:$A$51,0)),""))</f>
        <v/>
      </c>
      <c r="G81" s="2">
        <f>IF(A81="","",YEAR(A81)&amp;"-"&amp;TEXT(MONTH(A81),"00"))</f>
        <v/>
      </c>
    </row>
    <row r="82">
      <c r="A82" s="2" t="n"/>
      <c r="B82" s="2" t="n"/>
      <c r="C82" s="2" t="n"/>
      <c r="D82" s="8">
        <f>IF(B82="","",IFERROR(INDEX(Товары!$F$2:$F$51,MATCH(B82,Товары!$A$2:$A$51,0)),""))</f>
        <v/>
      </c>
      <c r="E82" s="8">
        <f>IF(OR(B82="",D82=""),"",C82*D82)</f>
        <v/>
      </c>
      <c r="F82" s="8">
        <f>IF(B82="","",IFERROR(C82*INDEX(Товары!$J$2:$J$51,MATCH(B82,Товары!$A$2:$A$51,0)),""))</f>
        <v/>
      </c>
      <c r="G82" s="2">
        <f>IF(A82="","",YEAR(A82)&amp;"-"&amp;TEXT(MONTH(A82),"00"))</f>
        <v/>
      </c>
    </row>
    <row r="83">
      <c r="A83" s="2" t="n"/>
      <c r="B83" s="2" t="n"/>
      <c r="C83" s="2" t="n"/>
      <c r="D83" s="8">
        <f>IF(B83="","",IFERROR(INDEX(Товары!$F$2:$F$51,MATCH(B83,Товары!$A$2:$A$51,0)),""))</f>
        <v/>
      </c>
      <c r="E83" s="8">
        <f>IF(OR(B83="",D83=""),"",C83*D83)</f>
        <v/>
      </c>
      <c r="F83" s="8">
        <f>IF(B83="","",IFERROR(C83*INDEX(Товары!$J$2:$J$51,MATCH(B83,Товары!$A$2:$A$51,0)),""))</f>
        <v/>
      </c>
      <c r="G83" s="2">
        <f>IF(A83="","",YEAR(A83)&amp;"-"&amp;TEXT(MONTH(A83),"00"))</f>
        <v/>
      </c>
    </row>
    <row r="84">
      <c r="A84" s="2" t="n"/>
      <c r="B84" s="2" t="n"/>
      <c r="C84" s="2" t="n"/>
      <c r="D84" s="8">
        <f>IF(B84="","",IFERROR(INDEX(Товары!$F$2:$F$51,MATCH(B84,Товары!$A$2:$A$51,0)),""))</f>
        <v/>
      </c>
      <c r="E84" s="8">
        <f>IF(OR(B84="",D84=""),"",C84*D84)</f>
        <v/>
      </c>
      <c r="F84" s="8">
        <f>IF(B84="","",IFERROR(C84*INDEX(Товары!$J$2:$J$51,MATCH(B84,Товары!$A$2:$A$51,0)),""))</f>
        <v/>
      </c>
      <c r="G84" s="2">
        <f>IF(A84="","",YEAR(A84)&amp;"-"&amp;TEXT(MONTH(A84),"00"))</f>
        <v/>
      </c>
    </row>
    <row r="85">
      <c r="A85" s="2" t="n"/>
      <c r="B85" s="2" t="n"/>
      <c r="C85" s="2" t="n"/>
      <c r="D85" s="8">
        <f>IF(B85="","",IFERROR(INDEX(Товары!$F$2:$F$51,MATCH(B85,Товары!$A$2:$A$51,0)),""))</f>
        <v/>
      </c>
      <c r="E85" s="8">
        <f>IF(OR(B85="",D85=""),"",C85*D85)</f>
        <v/>
      </c>
      <c r="F85" s="8">
        <f>IF(B85="","",IFERROR(C85*INDEX(Товары!$J$2:$J$51,MATCH(B85,Товары!$A$2:$A$51,0)),""))</f>
        <v/>
      </c>
      <c r="G85" s="2">
        <f>IF(A85="","",YEAR(A85)&amp;"-"&amp;TEXT(MONTH(A85),"00"))</f>
        <v/>
      </c>
    </row>
    <row r="86">
      <c r="A86" s="2" t="n"/>
      <c r="B86" s="2" t="n"/>
      <c r="C86" s="2" t="n"/>
      <c r="D86" s="8">
        <f>IF(B86="","",IFERROR(INDEX(Товары!$F$2:$F$51,MATCH(B86,Товары!$A$2:$A$51,0)),""))</f>
        <v/>
      </c>
      <c r="E86" s="8">
        <f>IF(OR(B86="",D86=""),"",C86*D86)</f>
        <v/>
      </c>
      <c r="F86" s="8">
        <f>IF(B86="","",IFERROR(C86*INDEX(Товары!$J$2:$J$51,MATCH(B86,Товары!$A$2:$A$51,0)),""))</f>
        <v/>
      </c>
      <c r="G86" s="2">
        <f>IF(A86="","",YEAR(A86)&amp;"-"&amp;TEXT(MONTH(A86),"00"))</f>
        <v/>
      </c>
    </row>
    <row r="87">
      <c r="A87" s="2" t="n"/>
      <c r="B87" s="2" t="n"/>
      <c r="C87" s="2" t="n"/>
      <c r="D87" s="8">
        <f>IF(B87="","",IFERROR(INDEX(Товары!$F$2:$F$51,MATCH(B87,Товары!$A$2:$A$51,0)),""))</f>
        <v/>
      </c>
      <c r="E87" s="8">
        <f>IF(OR(B87="",D87=""),"",C87*D87)</f>
        <v/>
      </c>
      <c r="F87" s="8">
        <f>IF(B87="","",IFERROR(C87*INDEX(Товары!$J$2:$J$51,MATCH(B87,Товары!$A$2:$A$51,0)),""))</f>
        <v/>
      </c>
      <c r="G87" s="2">
        <f>IF(A87="","",YEAR(A87)&amp;"-"&amp;TEXT(MONTH(A87),"00"))</f>
        <v/>
      </c>
    </row>
    <row r="88">
      <c r="A88" s="2" t="n"/>
      <c r="B88" s="2" t="n"/>
      <c r="C88" s="2" t="n"/>
      <c r="D88" s="8">
        <f>IF(B88="","",IFERROR(INDEX(Товары!$F$2:$F$51,MATCH(B88,Товары!$A$2:$A$51,0)),""))</f>
        <v/>
      </c>
      <c r="E88" s="8">
        <f>IF(OR(B88="",D88=""),"",C88*D88)</f>
        <v/>
      </c>
      <c r="F88" s="8">
        <f>IF(B88="","",IFERROR(C88*INDEX(Товары!$J$2:$J$51,MATCH(B88,Товары!$A$2:$A$51,0)),""))</f>
        <v/>
      </c>
      <c r="G88" s="2">
        <f>IF(A88="","",YEAR(A88)&amp;"-"&amp;TEXT(MONTH(A88),"00"))</f>
        <v/>
      </c>
    </row>
    <row r="89">
      <c r="A89" s="2" t="n"/>
      <c r="B89" s="2" t="n"/>
      <c r="C89" s="2" t="n"/>
      <c r="D89" s="8">
        <f>IF(B89="","",IFERROR(INDEX(Товары!$F$2:$F$51,MATCH(B89,Товары!$A$2:$A$51,0)),""))</f>
        <v/>
      </c>
      <c r="E89" s="8">
        <f>IF(OR(B89="",D89=""),"",C89*D89)</f>
        <v/>
      </c>
      <c r="F89" s="8">
        <f>IF(B89="","",IFERROR(C89*INDEX(Товары!$J$2:$J$51,MATCH(B89,Товары!$A$2:$A$51,0)),""))</f>
        <v/>
      </c>
      <c r="G89" s="2">
        <f>IF(A89="","",YEAR(A89)&amp;"-"&amp;TEXT(MONTH(A89),"00"))</f>
        <v/>
      </c>
    </row>
    <row r="90">
      <c r="A90" s="2" t="n"/>
      <c r="B90" s="2" t="n"/>
      <c r="C90" s="2" t="n"/>
      <c r="D90" s="8">
        <f>IF(B90="","",IFERROR(INDEX(Товары!$F$2:$F$51,MATCH(B90,Товары!$A$2:$A$51,0)),""))</f>
        <v/>
      </c>
      <c r="E90" s="8">
        <f>IF(OR(B90="",D90=""),"",C90*D90)</f>
        <v/>
      </c>
      <c r="F90" s="8">
        <f>IF(B90="","",IFERROR(C90*INDEX(Товары!$J$2:$J$51,MATCH(B90,Товары!$A$2:$A$51,0)),""))</f>
        <v/>
      </c>
      <c r="G90" s="2">
        <f>IF(A90="","",YEAR(A90)&amp;"-"&amp;TEXT(MONTH(A90),"00"))</f>
        <v/>
      </c>
    </row>
    <row r="91">
      <c r="A91" s="2" t="n"/>
      <c r="B91" s="2" t="n"/>
      <c r="C91" s="2" t="n"/>
      <c r="D91" s="8">
        <f>IF(B91="","",IFERROR(INDEX(Товары!$F$2:$F$51,MATCH(B91,Товары!$A$2:$A$51,0)),""))</f>
        <v/>
      </c>
      <c r="E91" s="8">
        <f>IF(OR(B91="",D91=""),"",C91*D91)</f>
        <v/>
      </c>
      <c r="F91" s="8">
        <f>IF(B91="","",IFERROR(C91*INDEX(Товары!$J$2:$J$51,MATCH(B91,Товары!$A$2:$A$51,0)),""))</f>
        <v/>
      </c>
      <c r="G91" s="2">
        <f>IF(A91="","",YEAR(A91)&amp;"-"&amp;TEXT(MONTH(A91),"00"))</f>
        <v/>
      </c>
    </row>
    <row r="92">
      <c r="A92" s="2" t="n"/>
      <c r="B92" s="2" t="n"/>
      <c r="C92" s="2" t="n"/>
      <c r="D92" s="8">
        <f>IF(B92="","",IFERROR(INDEX(Товары!$F$2:$F$51,MATCH(B92,Товары!$A$2:$A$51,0)),""))</f>
        <v/>
      </c>
      <c r="E92" s="8">
        <f>IF(OR(B92="",D92=""),"",C92*D92)</f>
        <v/>
      </c>
      <c r="F92" s="8">
        <f>IF(B92="","",IFERROR(C92*INDEX(Товары!$J$2:$J$51,MATCH(B92,Товары!$A$2:$A$51,0)),""))</f>
        <v/>
      </c>
      <c r="G92" s="2">
        <f>IF(A92="","",YEAR(A92)&amp;"-"&amp;TEXT(MONTH(A92),"00"))</f>
        <v/>
      </c>
    </row>
    <row r="93">
      <c r="A93" s="2" t="n"/>
      <c r="B93" s="2" t="n"/>
      <c r="C93" s="2" t="n"/>
      <c r="D93" s="8">
        <f>IF(B93="","",IFERROR(INDEX(Товары!$F$2:$F$51,MATCH(B93,Товары!$A$2:$A$51,0)),""))</f>
        <v/>
      </c>
      <c r="E93" s="8">
        <f>IF(OR(B93="",D93=""),"",C93*D93)</f>
        <v/>
      </c>
      <c r="F93" s="8">
        <f>IF(B93="","",IFERROR(C93*INDEX(Товары!$J$2:$J$51,MATCH(B93,Товары!$A$2:$A$51,0)),""))</f>
        <v/>
      </c>
      <c r="G93" s="2">
        <f>IF(A93="","",YEAR(A93)&amp;"-"&amp;TEXT(MONTH(A93),"00"))</f>
        <v/>
      </c>
    </row>
    <row r="94">
      <c r="A94" s="2" t="n"/>
      <c r="B94" s="2" t="n"/>
      <c r="C94" s="2" t="n"/>
      <c r="D94" s="8">
        <f>IF(B94="","",IFERROR(INDEX(Товары!$F$2:$F$51,MATCH(B94,Товары!$A$2:$A$51,0)),""))</f>
        <v/>
      </c>
      <c r="E94" s="8">
        <f>IF(OR(B94="",D94=""),"",C94*D94)</f>
        <v/>
      </c>
      <c r="F94" s="8">
        <f>IF(B94="","",IFERROR(C94*INDEX(Товары!$J$2:$J$51,MATCH(B94,Товары!$A$2:$A$51,0)),""))</f>
        <v/>
      </c>
      <c r="G94" s="2">
        <f>IF(A94="","",YEAR(A94)&amp;"-"&amp;TEXT(MONTH(A94),"00"))</f>
        <v/>
      </c>
    </row>
    <row r="95">
      <c r="A95" s="2" t="n"/>
      <c r="B95" s="2" t="n"/>
      <c r="C95" s="2" t="n"/>
      <c r="D95" s="8">
        <f>IF(B95="","",IFERROR(INDEX(Товары!$F$2:$F$51,MATCH(B95,Товары!$A$2:$A$51,0)),""))</f>
        <v/>
      </c>
      <c r="E95" s="8">
        <f>IF(OR(B95="",D95=""),"",C95*D95)</f>
        <v/>
      </c>
      <c r="F95" s="8">
        <f>IF(B95="","",IFERROR(C95*INDEX(Товары!$J$2:$J$51,MATCH(B95,Товары!$A$2:$A$51,0)),""))</f>
        <v/>
      </c>
      <c r="G95" s="2">
        <f>IF(A95="","",YEAR(A95)&amp;"-"&amp;TEXT(MONTH(A95),"00"))</f>
        <v/>
      </c>
    </row>
    <row r="96">
      <c r="A96" s="2" t="n"/>
      <c r="B96" s="2" t="n"/>
      <c r="C96" s="2" t="n"/>
      <c r="D96" s="8">
        <f>IF(B96="","",IFERROR(INDEX(Товары!$F$2:$F$51,MATCH(B96,Товары!$A$2:$A$51,0)),""))</f>
        <v/>
      </c>
      <c r="E96" s="8">
        <f>IF(OR(B96="",D96=""),"",C96*D96)</f>
        <v/>
      </c>
      <c r="F96" s="8">
        <f>IF(B96="","",IFERROR(C96*INDEX(Товары!$J$2:$J$51,MATCH(B96,Товары!$A$2:$A$51,0)),""))</f>
        <v/>
      </c>
      <c r="G96" s="2">
        <f>IF(A96="","",YEAR(A96)&amp;"-"&amp;TEXT(MONTH(A96),"00"))</f>
        <v/>
      </c>
    </row>
    <row r="97">
      <c r="A97" s="2" t="n"/>
      <c r="B97" s="2" t="n"/>
      <c r="C97" s="2" t="n"/>
      <c r="D97" s="8">
        <f>IF(B97="","",IFERROR(INDEX(Товары!$F$2:$F$51,MATCH(B97,Товары!$A$2:$A$51,0)),""))</f>
        <v/>
      </c>
      <c r="E97" s="8">
        <f>IF(OR(B97="",D97=""),"",C97*D97)</f>
        <v/>
      </c>
      <c r="F97" s="8">
        <f>IF(B97="","",IFERROR(C97*INDEX(Товары!$J$2:$J$51,MATCH(B97,Товары!$A$2:$A$51,0)),""))</f>
        <v/>
      </c>
      <c r="G97" s="2">
        <f>IF(A97="","",YEAR(A97)&amp;"-"&amp;TEXT(MONTH(A97),"00"))</f>
        <v/>
      </c>
    </row>
    <row r="98">
      <c r="A98" s="2" t="n"/>
      <c r="B98" s="2" t="n"/>
      <c r="C98" s="2" t="n"/>
      <c r="D98" s="8">
        <f>IF(B98="","",IFERROR(INDEX(Товары!$F$2:$F$51,MATCH(B98,Товары!$A$2:$A$51,0)),""))</f>
        <v/>
      </c>
      <c r="E98" s="8">
        <f>IF(OR(B98="",D98=""),"",C98*D98)</f>
        <v/>
      </c>
      <c r="F98" s="8">
        <f>IF(B98="","",IFERROR(C98*INDEX(Товары!$J$2:$J$51,MATCH(B98,Товары!$A$2:$A$51,0)),""))</f>
        <v/>
      </c>
      <c r="G98" s="2">
        <f>IF(A98="","",YEAR(A98)&amp;"-"&amp;TEXT(MONTH(A98),"00"))</f>
        <v/>
      </c>
    </row>
    <row r="99">
      <c r="A99" s="2" t="n"/>
      <c r="B99" s="2" t="n"/>
      <c r="C99" s="2" t="n"/>
      <c r="D99" s="8">
        <f>IF(B99="","",IFERROR(INDEX(Товары!$F$2:$F$51,MATCH(B99,Товары!$A$2:$A$51,0)),""))</f>
        <v/>
      </c>
      <c r="E99" s="8">
        <f>IF(OR(B99="",D99=""),"",C99*D99)</f>
        <v/>
      </c>
      <c r="F99" s="8">
        <f>IF(B99="","",IFERROR(C99*INDEX(Товары!$J$2:$J$51,MATCH(B99,Товары!$A$2:$A$51,0)),""))</f>
        <v/>
      </c>
      <c r="G99" s="2">
        <f>IF(A99="","",YEAR(A99)&amp;"-"&amp;TEXT(MONTH(A99),"00"))</f>
        <v/>
      </c>
    </row>
    <row r="100">
      <c r="A100" s="2" t="n"/>
      <c r="B100" s="2" t="n"/>
      <c r="C100" s="2" t="n"/>
      <c r="D100" s="8">
        <f>IF(B100="","",IFERROR(INDEX(Товары!$F$2:$F$51,MATCH(B100,Товары!$A$2:$A$51,0)),""))</f>
        <v/>
      </c>
      <c r="E100" s="8">
        <f>IF(OR(B100="",D100=""),"",C100*D100)</f>
        <v/>
      </c>
      <c r="F100" s="8">
        <f>IF(B100="","",IFERROR(C100*INDEX(Товары!$J$2:$J$51,MATCH(B100,Товары!$A$2:$A$51,0)),""))</f>
        <v/>
      </c>
      <c r="G100" s="2">
        <f>IF(A100="","",YEAR(A100)&amp;"-"&amp;TEXT(MONTH(A100),"00"))</f>
        <v/>
      </c>
    </row>
    <row r="101">
      <c r="A101" s="2" t="n"/>
      <c r="B101" s="2" t="n"/>
      <c r="C101" s="2" t="n"/>
      <c r="D101" s="8">
        <f>IF(B101="","",IFERROR(INDEX(Товары!$F$2:$F$51,MATCH(B101,Товары!$A$2:$A$51,0)),""))</f>
        <v/>
      </c>
      <c r="E101" s="8">
        <f>IF(OR(B101="",D101=""),"",C101*D101)</f>
        <v/>
      </c>
      <c r="F101" s="8">
        <f>IF(B101="","",IFERROR(C101*INDEX(Товары!$J$2:$J$51,MATCH(B101,Товары!$A$2:$A$51,0)),""))</f>
        <v/>
      </c>
      <c r="G101" s="2">
        <f>IF(A101="","",YEAR(A101)&amp;"-"&amp;TEXT(MONTH(A101),"00"))</f>
        <v/>
      </c>
    </row>
    <row r="102">
      <c r="A102" s="2" t="n"/>
      <c r="B102" s="2" t="n"/>
      <c r="C102" s="2" t="n"/>
      <c r="D102" s="8">
        <f>IF(B102="","",IFERROR(INDEX(Товары!$F$2:$F$51,MATCH(B102,Товары!$A$2:$A$51,0)),""))</f>
        <v/>
      </c>
      <c r="E102" s="8">
        <f>IF(OR(B102="",D102=""),"",C102*D102)</f>
        <v/>
      </c>
      <c r="F102" s="8">
        <f>IF(B102="","",IFERROR(C102*INDEX(Товары!$J$2:$J$51,MATCH(B102,Товары!$A$2:$A$51,0)),""))</f>
        <v/>
      </c>
      <c r="G102" s="2">
        <f>IF(A102="","",YEAR(A102)&amp;"-"&amp;TEXT(MONTH(A102),"00"))</f>
        <v/>
      </c>
    </row>
    <row r="103">
      <c r="A103" s="2" t="n"/>
      <c r="B103" s="2" t="n"/>
      <c r="C103" s="2" t="n"/>
      <c r="D103" s="8">
        <f>IF(B103="","",IFERROR(INDEX(Товары!$F$2:$F$51,MATCH(B103,Товары!$A$2:$A$51,0)),""))</f>
        <v/>
      </c>
      <c r="E103" s="8">
        <f>IF(OR(B103="",D103=""),"",C103*D103)</f>
        <v/>
      </c>
      <c r="F103" s="8">
        <f>IF(B103="","",IFERROR(C103*INDEX(Товары!$J$2:$J$51,MATCH(B103,Товары!$A$2:$A$51,0)),""))</f>
        <v/>
      </c>
      <c r="G103" s="2">
        <f>IF(A103="","",YEAR(A103)&amp;"-"&amp;TEXT(MONTH(A103),"00"))</f>
        <v/>
      </c>
    </row>
    <row r="104">
      <c r="A104" s="2" t="n"/>
      <c r="B104" s="2" t="n"/>
      <c r="C104" s="2" t="n"/>
      <c r="D104" s="8">
        <f>IF(B104="","",IFERROR(INDEX(Товары!$F$2:$F$51,MATCH(B104,Товары!$A$2:$A$51,0)),""))</f>
        <v/>
      </c>
      <c r="E104" s="8">
        <f>IF(OR(B104="",D104=""),"",C104*D104)</f>
        <v/>
      </c>
      <c r="F104" s="8">
        <f>IF(B104="","",IFERROR(C104*INDEX(Товары!$J$2:$J$51,MATCH(B104,Товары!$A$2:$A$51,0)),""))</f>
        <v/>
      </c>
      <c r="G104" s="2">
        <f>IF(A104="","",YEAR(A104)&amp;"-"&amp;TEXT(MONTH(A104),"00"))</f>
        <v/>
      </c>
    </row>
    <row r="105">
      <c r="A105" s="2" t="n"/>
      <c r="B105" s="2" t="n"/>
      <c r="C105" s="2" t="n"/>
      <c r="D105" s="8">
        <f>IF(B105="","",IFERROR(INDEX(Товары!$F$2:$F$51,MATCH(B105,Товары!$A$2:$A$51,0)),""))</f>
        <v/>
      </c>
      <c r="E105" s="8">
        <f>IF(OR(B105="",D105=""),"",C105*D105)</f>
        <v/>
      </c>
      <c r="F105" s="8">
        <f>IF(B105="","",IFERROR(C105*INDEX(Товары!$J$2:$J$51,MATCH(B105,Товары!$A$2:$A$51,0)),""))</f>
        <v/>
      </c>
      <c r="G105" s="2">
        <f>IF(A105="","",YEAR(A105)&amp;"-"&amp;TEXT(MONTH(A105),"00"))</f>
        <v/>
      </c>
    </row>
    <row r="106">
      <c r="A106" s="2" t="n"/>
      <c r="B106" s="2" t="n"/>
      <c r="C106" s="2" t="n"/>
      <c r="D106" s="8">
        <f>IF(B106="","",IFERROR(INDEX(Товары!$F$2:$F$51,MATCH(B106,Товары!$A$2:$A$51,0)),""))</f>
        <v/>
      </c>
      <c r="E106" s="8">
        <f>IF(OR(B106="",D106=""),"",C106*D106)</f>
        <v/>
      </c>
      <c r="F106" s="8">
        <f>IF(B106="","",IFERROR(C106*INDEX(Товары!$J$2:$J$51,MATCH(B106,Товары!$A$2:$A$51,0)),""))</f>
        <v/>
      </c>
      <c r="G106" s="2">
        <f>IF(A106="","",YEAR(A106)&amp;"-"&amp;TEXT(MONTH(A106),"00"))</f>
        <v/>
      </c>
    </row>
    <row r="107">
      <c r="A107" s="2" t="n"/>
      <c r="B107" s="2" t="n"/>
      <c r="C107" s="2" t="n"/>
      <c r="D107" s="8">
        <f>IF(B107="","",IFERROR(INDEX(Товары!$F$2:$F$51,MATCH(B107,Товары!$A$2:$A$51,0)),""))</f>
        <v/>
      </c>
      <c r="E107" s="8">
        <f>IF(OR(B107="",D107=""),"",C107*D107)</f>
        <v/>
      </c>
      <c r="F107" s="8">
        <f>IF(B107="","",IFERROR(C107*INDEX(Товары!$J$2:$J$51,MATCH(B107,Товары!$A$2:$A$51,0)),""))</f>
        <v/>
      </c>
      <c r="G107" s="2">
        <f>IF(A107="","",YEAR(A107)&amp;"-"&amp;TEXT(MONTH(A107),"00"))</f>
        <v/>
      </c>
    </row>
    <row r="108">
      <c r="A108" s="2" t="n"/>
      <c r="B108" s="2" t="n"/>
      <c r="C108" s="2" t="n"/>
      <c r="D108" s="8">
        <f>IF(B108="","",IFERROR(INDEX(Товары!$F$2:$F$51,MATCH(B108,Товары!$A$2:$A$51,0)),""))</f>
        <v/>
      </c>
      <c r="E108" s="8">
        <f>IF(OR(B108="",D108=""),"",C108*D108)</f>
        <v/>
      </c>
      <c r="F108" s="8">
        <f>IF(B108="","",IFERROR(C108*INDEX(Товары!$J$2:$J$51,MATCH(B108,Товары!$A$2:$A$51,0)),""))</f>
        <v/>
      </c>
      <c r="G108" s="2">
        <f>IF(A108="","",YEAR(A108)&amp;"-"&amp;TEXT(MONTH(A108),"00"))</f>
        <v/>
      </c>
    </row>
    <row r="109">
      <c r="A109" s="2" t="n"/>
      <c r="B109" s="2" t="n"/>
      <c r="C109" s="2" t="n"/>
      <c r="D109" s="8">
        <f>IF(B109="","",IFERROR(INDEX(Товары!$F$2:$F$51,MATCH(B109,Товары!$A$2:$A$51,0)),""))</f>
        <v/>
      </c>
      <c r="E109" s="8">
        <f>IF(OR(B109="",D109=""),"",C109*D109)</f>
        <v/>
      </c>
      <c r="F109" s="8">
        <f>IF(B109="","",IFERROR(C109*INDEX(Товары!$J$2:$J$51,MATCH(B109,Товары!$A$2:$A$51,0)),""))</f>
        <v/>
      </c>
      <c r="G109" s="2">
        <f>IF(A109="","",YEAR(A109)&amp;"-"&amp;TEXT(MONTH(A109),"00"))</f>
        <v/>
      </c>
    </row>
    <row r="110">
      <c r="A110" s="2" t="n"/>
      <c r="B110" s="2" t="n"/>
      <c r="C110" s="2" t="n"/>
      <c r="D110" s="8">
        <f>IF(B110="","",IFERROR(INDEX(Товары!$F$2:$F$51,MATCH(B110,Товары!$A$2:$A$51,0)),""))</f>
        <v/>
      </c>
      <c r="E110" s="8">
        <f>IF(OR(B110="",D110=""),"",C110*D110)</f>
        <v/>
      </c>
      <c r="F110" s="8">
        <f>IF(B110="","",IFERROR(C110*INDEX(Товары!$J$2:$J$51,MATCH(B110,Товары!$A$2:$A$51,0)),""))</f>
        <v/>
      </c>
      <c r="G110" s="2">
        <f>IF(A110="","",YEAR(A110)&amp;"-"&amp;TEXT(MONTH(A110),"00"))</f>
        <v/>
      </c>
    </row>
    <row r="111">
      <c r="A111" s="2" t="n"/>
      <c r="B111" s="2" t="n"/>
      <c r="C111" s="2" t="n"/>
      <c r="D111" s="8">
        <f>IF(B111="","",IFERROR(INDEX(Товары!$F$2:$F$51,MATCH(B111,Товары!$A$2:$A$51,0)),""))</f>
        <v/>
      </c>
      <c r="E111" s="8">
        <f>IF(OR(B111="",D111=""),"",C111*D111)</f>
        <v/>
      </c>
      <c r="F111" s="8">
        <f>IF(B111="","",IFERROR(C111*INDEX(Товары!$J$2:$J$51,MATCH(B111,Товары!$A$2:$A$51,0)),""))</f>
        <v/>
      </c>
      <c r="G111" s="2">
        <f>IF(A111="","",YEAR(A111)&amp;"-"&amp;TEXT(MONTH(A111),"00"))</f>
        <v/>
      </c>
    </row>
    <row r="112">
      <c r="A112" s="2" t="n"/>
      <c r="B112" s="2" t="n"/>
      <c r="C112" s="2" t="n"/>
      <c r="D112" s="8">
        <f>IF(B112="","",IFERROR(INDEX(Товары!$F$2:$F$51,MATCH(B112,Товары!$A$2:$A$51,0)),""))</f>
        <v/>
      </c>
      <c r="E112" s="8">
        <f>IF(OR(B112="",D112=""),"",C112*D112)</f>
        <v/>
      </c>
      <c r="F112" s="8">
        <f>IF(B112="","",IFERROR(C112*INDEX(Товары!$J$2:$J$51,MATCH(B112,Товары!$A$2:$A$51,0)),""))</f>
        <v/>
      </c>
      <c r="G112" s="2">
        <f>IF(A112="","",YEAR(A112)&amp;"-"&amp;TEXT(MONTH(A112),"00"))</f>
        <v/>
      </c>
    </row>
    <row r="113">
      <c r="A113" s="2" t="n"/>
      <c r="B113" s="2" t="n"/>
      <c r="C113" s="2" t="n"/>
      <c r="D113" s="8">
        <f>IF(B113="","",IFERROR(INDEX(Товары!$F$2:$F$51,MATCH(B113,Товары!$A$2:$A$51,0)),""))</f>
        <v/>
      </c>
      <c r="E113" s="8">
        <f>IF(OR(B113="",D113=""),"",C113*D113)</f>
        <v/>
      </c>
      <c r="F113" s="8">
        <f>IF(B113="","",IFERROR(C113*INDEX(Товары!$J$2:$J$51,MATCH(B113,Товары!$A$2:$A$51,0)),""))</f>
        <v/>
      </c>
      <c r="G113" s="2">
        <f>IF(A113="","",YEAR(A113)&amp;"-"&amp;TEXT(MONTH(A113),"00"))</f>
        <v/>
      </c>
    </row>
    <row r="114">
      <c r="A114" s="2" t="n"/>
      <c r="B114" s="2" t="n"/>
      <c r="C114" s="2" t="n"/>
      <c r="D114" s="8">
        <f>IF(B114="","",IFERROR(INDEX(Товары!$F$2:$F$51,MATCH(B114,Товары!$A$2:$A$51,0)),""))</f>
        <v/>
      </c>
      <c r="E114" s="8">
        <f>IF(OR(B114="",D114=""),"",C114*D114)</f>
        <v/>
      </c>
      <c r="F114" s="8">
        <f>IF(B114="","",IFERROR(C114*INDEX(Товары!$J$2:$J$51,MATCH(B114,Товары!$A$2:$A$51,0)),""))</f>
        <v/>
      </c>
      <c r="G114" s="2">
        <f>IF(A114="","",YEAR(A114)&amp;"-"&amp;TEXT(MONTH(A114),"00"))</f>
        <v/>
      </c>
    </row>
    <row r="115">
      <c r="A115" s="2" t="n"/>
      <c r="B115" s="2" t="n"/>
      <c r="C115" s="2" t="n"/>
      <c r="D115" s="8">
        <f>IF(B115="","",IFERROR(INDEX(Товары!$F$2:$F$51,MATCH(B115,Товары!$A$2:$A$51,0)),""))</f>
        <v/>
      </c>
      <c r="E115" s="8">
        <f>IF(OR(B115="",D115=""),"",C115*D115)</f>
        <v/>
      </c>
      <c r="F115" s="8">
        <f>IF(B115="","",IFERROR(C115*INDEX(Товары!$J$2:$J$51,MATCH(B115,Товары!$A$2:$A$51,0)),""))</f>
        <v/>
      </c>
      <c r="G115" s="2">
        <f>IF(A115="","",YEAR(A115)&amp;"-"&amp;TEXT(MONTH(A115),"00"))</f>
        <v/>
      </c>
    </row>
    <row r="116">
      <c r="A116" s="2" t="n"/>
      <c r="B116" s="2" t="n"/>
      <c r="C116" s="2" t="n"/>
      <c r="D116" s="8">
        <f>IF(B116="","",IFERROR(INDEX(Товары!$F$2:$F$51,MATCH(B116,Товары!$A$2:$A$51,0)),""))</f>
        <v/>
      </c>
      <c r="E116" s="8">
        <f>IF(OR(B116="",D116=""),"",C116*D116)</f>
        <v/>
      </c>
      <c r="F116" s="8">
        <f>IF(B116="","",IFERROR(C116*INDEX(Товары!$J$2:$J$51,MATCH(B116,Товары!$A$2:$A$51,0)),""))</f>
        <v/>
      </c>
      <c r="G116" s="2">
        <f>IF(A116="","",YEAR(A116)&amp;"-"&amp;TEXT(MONTH(A116),"00"))</f>
        <v/>
      </c>
    </row>
    <row r="117">
      <c r="A117" s="2" t="n"/>
      <c r="B117" s="2" t="n"/>
      <c r="C117" s="2" t="n"/>
      <c r="D117" s="8">
        <f>IF(B117="","",IFERROR(INDEX(Товары!$F$2:$F$51,MATCH(B117,Товары!$A$2:$A$51,0)),""))</f>
        <v/>
      </c>
      <c r="E117" s="8">
        <f>IF(OR(B117="",D117=""),"",C117*D117)</f>
        <v/>
      </c>
      <c r="F117" s="8">
        <f>IF(B117="","",IFERROR(C117*INDEX(Товары!$J$2:$J$51,MATCH(B117,Товары!$A$2:$A$51,0)),""))</f>
        <v/>
      </c>
      <c r="G117" s="2">
        <f>IF(A117="","",YEAR(A117)&amp;"-"&amp;TEXT(MONTH(A117),"00"))</f>
        <v/>
      </c>
    </row>
    <row r="118">
      <c r="A118" s="2" t="n"/>
      <c r="B118" s="2" t="n"/>
      <c r="C118" s="2" t="n"/>
      <c r="D118" s="8">
        <f>IF(B118="","",IFERROR(INDEX(Товары!$F$2:$F$51,MATCH(B118,Товары!$A$2:$A$51,0)),""))</f>
        <v/>
      </c>
      <c r="E118" s="8">
        <f>IF(OR(B118="",D118=""),"",C118*D118)</f>
        <v/>
      </c>
      <c r="F118" s="8">
        <f>IF(B118="","",IFERROR(C118*INDEX(Товары!$J$2:$J$51,MATCH(B118,Товары!$A$2:$A$51,0)),""))</f>
        <v/>
      </c>
      <c r="G118" s="2">
        <f>IF(A118="","",YEAR(A118)&amp;"-"&amp;TEXT(MONTH(A118),"00"))</f>
        <v/>
      </c>
    </row>
    <row r="119">
      <c r="A119" s="2" t="n"/>
      <c r="B119" s="2" t="n"/>
      <c r="C119" s="2" t="n"/>
      <c r="D119" s="8">
        <f>IF(B119="","",IFERROR(INDEX(Товары!$F$2:$F$51,MATCH(B119,Товары!$A$2:$A$51,0)),""))</f>
        <v/>
      </c>
      <c r="E119" s="8">
        <f>IF(OR(B119="",D119=""),"",C119*D119)</f>
        <v/>
      </c>
      <c r="F119" s="8">
        <f>IF(B119="","",IFERROR(C119*INDEX(Товары!$J$2:$J$51,MATCH(B119,Товары!$A$2:$A$51,0)),""))</f>
        <v/>
      </c>
      <c r="G119" s="2">
        <f>IF(A119="","",YEAR(A119)&amp;"-"&amp;TEXT(MONTH(A119),"00"))</f>
        <v/>
      </c>
    </row>
    <row r="120">
      <c r="A120" s="2" t="n"/>
      <c r="B120" s="2" t="n"/>
      <c r="C120" s="2" t="n"/>
      <c r="D120" s="8">
        <f>IF(B120="","",IFERROR(INDEX(Товары!$F$2:$F$51,MATCH(B120,Товары!$A$2:$A$51,0)),""))</f>
        <v/>
      </c>
      <c r="E120" s="8">
        <f>IF(OR(B120="",D120=""),"",C120*D120)</f>
        <v/>
      </c>
      <c r="F120" s="8">
        <f>IF(B120="","",IFERROR(C120*INDEX(Товары!$J$2:$J$51,MATCH(B120,Товары!$A$2:$A$51,0)),""))</f>
        <v/>
      </c>
      <c r="G120" s="2">
        <f>IF(A120="","",YEAR(A120)&amp;"-"&amp;TEXT(MONTH(A120),"00"))</f>
        <v/>
      </c>
    </row>
    <row r="121">
      <c r="A121" s="2" t="n"/>
      <c r="B121" s="2" t="n"/>
      <c r="C121" s="2" t="n"/>
      <c r="D121" s="8">
        <f>IF(B121="","",IFERROR(INDEX(Товары!$F$2:$F$51,MATCH(B121,Товары!$A$2:$A$51,0)),""))</f>
        <v/>
      </c>
      <c r="E121" s="8">
        <f>IF(OR(B121="",D121=""),"",C121*D121)</f>
        <v/>
      </c>
      <c r="F121" s="8">
        <f>IF(B121="","",IFERROR(C121*INDEX(Товары!$J$2:$J$51,MATCH(B121,Товары!$A$2:$A$51,0)),""))</f>
        <v/>
      </c>
      <c r="G121" s="2">
        <f>IF(A121="","",YEAR(A121)&amp;"-"&amp;TEXT(MONTH(A121),"00"))</f>
        <v/>
      </c>
    </row>
    <row r="122">
      <c r="A122" s="2" t="n"/>
      <c r="B122" s="2" t="n"/>
      <c r="C122" s="2" t="n"/>
      <c r="D122" s="8">
        <f>IF(B122="","",IFERROR(INDEX(Товары!$F$2:$F$51,MATCH(B122,Товары!$A$2:$A$51,0)),""))</f>
        <v/>
      </c>
      <c r="E122" s="8">
        <f>IF(OR(B122="",D122=""),"",C122*D122)</f>
        <v/>
      </c>
      <c r="F122" s="8">
        <f>IF(B122="","",IFERROR(C122*INDEX(Товары!$J$2:$J$51,MATCH(B122,Товары!$A$2:$A$51,0)),""))</f>
        <v/>
      </c>
      <c r="G122" s="2">
        <f>IF(A122="","",YEAR(A122)&amp;"-"&amp;TEXT(MONTH(A122),"00"))</f>
        <v/>
      </c>
    </row>
    <row r="123">
      <c r="A123" s="2" t="n"/>
      <c r="B123" s="2" t="n"/>
      <c r="C123" s="2" t="n"/>
      <c r="D123" s="8">
        <f>IF(B123="","",IFERROR(INDEX(Товары!$F$2:$F$51,MATCH(B123,Товары!$A$2:$A$51,0)),""))</f>
        <v/>
      </c>
      <c r="E123" s="8">
        <f>IF(OR(B123="",D123=""),"",C123*D123)</f>
        <v/>
      </c>
      <c r="F123" s="8">
        <f>IF(B123="","",IFERROR(C123*INDEX(Товары!$J$2:$J$51,MATCH(B123,Товары!$A$2:$A$51,0)),""))</f>
        <v/>
      </c>
      <c r="G123" s="2">
        <f>IF(A123="","",YEAR(A123)&amp;"-"&amp;TEXT(MONTH(A123),"00"))</f>
        <v/>
      </c>
    </row>
    <row r="124">
      <c r="A124" s="2" t="n"/>
      <c r="B124" s="2" t="n"/>
      <c r="C124" s="2" t="n"/>
      <c r="D124" s="8">
        <f>IF(B124="","",IFERROR(INDEX(Товары!$F$2:$F$51,MATCH(B124,Товары!$A$2:$A$51,0)),""))</f>
        <v/>
      </c>
      <c r="E124" s="8">
        <f>IF(OR(B124="",D124=""),"",C124*D124)</f>
        <v/>
      </c>
      <c r="F124" s="8">
        <f>IF(B124="","",IFERROR(C124*INDEX(Товары!$J$2:$J$51,MATCH(B124,Товары!$A$2:$A$51,0)),""))</f>
        <v/>
      </c>
      <c r="G124" s="2">
        <f>IF(A124="","",YEAR(A124)&amp;"-"&amp;TEXT(MONTH(A124),"00"))</f>
        <v/>
      </c>
    </row>
    <row r="125">
      <c r="A125" s="2" t="n"/>
      <c r="B125" s="2" t="n"/>
      <c r="C125" s="2" t="n"/>
      <c r="D125" s="8">
        <f>IF(B125="","",IFERROR(INDEX(Товары!$F$2:$F$51,MATCH(B125,Товары!$A$2:$A$51,0)),""))</f>
        <v/>
      </c>
      <c r="E125" s="8">
        <f>IF(OR(B125="",D125=""),"",C125*D125)</f>
        <v/>
      </c>
      <c r="F125" s="8">
        <f>IF(B125="","",IFERROR(C125*INDEX(Товары!$J$2:$J$51,MATCH(B125,Товары!$A$2:$A$51,0)),""))</f>
        <v/>
      </c>
      <c r="G125" s="2">
        <f>IF(A125="","",YEAR(A125)&amp;"-"&amp;TEXT(MONTH(A125),"00"))</f>
        <v/>
      </c>
    </row>
    <row r="126">
      <c r="A126" s="2" t="n"/>
      <c r="B126" s="2" t="n"/>
      <c r="C126" s="2" t="n"/>
      <c r="D126" s="8">
        <f>IF(B126="","",IFERROR(INDEX(Товары!$F$2:$F$51,MATCH(B126,Товары!$A$2:$A$51,0)),""))</f>
        <v/>
      </c>
      <c r="E126" s="8">
        <f>IF(OR(B126="",D126=""),"",C126*D126)</f>
        <v/>
      </c>
      <c r="F126" s="8">
        <f>IF(B126="","",IFERROR(C126*INDEX(Товары!$J$2:$J$51,MATCH(B126,Товары!$A$2:$A$51,0)),""))</f>
        <v/>
      </c>
      <c r="G126" s="2">
        <f>IF(A126="","",YEAR(A126)&amp;"-"&amp;TEXT(MONTH(A126),"00"))</f>
        <v/>
      </c>
    </row>
    <row r="127">
      <c r="A127" s="2" t="n"/>
      <c r="B127" s="2" t="n"/>
      <c r="C127" s="2" t="n"/>
      <c r="D127" s="8">
        <f>IF(B127="","",IFERROR(INDEX(Товары!$F$2:$F$51,MATCH(B127,Товары!$A$2:$A$51,0)),""))</f>
        <v/>
      </c>
      <c r="E127" s="8">
        <f>IF(OR(B127="",D127=""),"",C127*D127)</f>
        <v/>
      </c>
      <c r="F127" s="8">
        <f>IF(B127="","",IFERROR(C127*INDEX(Товары!$J$2:$J$51,MATCH(B127,Товары!$A$2:$A$51,0)),""))</f>
        <v/>
      </c>
      <c r="G127" s="2">
        <f>IF(A127="","",YEAR(A127)&amp;"-"&amp;TEXT(MONTH(A127),"00"))</f>
        <v/>
      </c>
    </row>
    <row r="128">
      <c r="A128" s="2" t="n"/>
      <c r="B128" s="2" t="n"/>
      <c r="C128" s="2" t="n"/>
      <c r="D128" s="8">
        <f>IF(B128="","",IFERROR(INDEX(Товары!$F$2:$F$51,MATCH(B128,Товары!$A$2:$A$51,0)),""))</f>
        <v/>
      </c>
      <c r="E128" s="8">
        <f>IF(OR(B128="",D128=""),"",C128*D128)</f>
        <v/>
      </c>
      <c r="F128" s="8">
        <f>IF(B128="","",IFERROR(C128*INDEX(Товары!$J$2:$J$51,MATCH(B128,Товары!$A$2:$A$51,0)),""))</f>
        <v/>
      </c>
      <c r="G128" s="2">
        <f>IF(A128="","",YEAR(A128)&amp;"-"&amp;TEXT(MONTH(A128),"00"))</f>
        <v/>
      </c>
    </row>
    <row r="129">
      <c r="A129" s="2" t="n"/>
      <c r="B129" s="2" t="n"/>
      <c r="C129" s="2" t="n"/>
      <c r="D129" s="8">
        <f>IF(B129="","",IFERROR(INDEX(Товары!$F$2:$F$51,MATCH(B129,Товары!$A$2:$A$51,0)),""))</f>
        <v/>
      </c>
      <c r="E129" s="8">
        <f>IF(OR(B129="",D129=""),"",C129*D129)</f>
        <v/>
      </c>
      <c r="F129" s="8">
        <f>IF(B129="","",IFERROR(C129*INDEX(Товары!$J$2:$J$51,MATCH(B129,Товары!$A$2:$A$51,0)),""))</f>
        <v/>
      </c>
      <c r="G129" s="2">
        <f>IF(A129="","",YEAR(A129)&amp;"-"&amp;TEXT(MONTH(A129),"00"))</f>
        <v/>
      </c>
    </row>
    <row r="130">
      <c r="A130" s="2" t="n"/>
      <c r="B130" s="2" t="n"/>
      <c r="C130" s="2" t="n"/>
      <c r="D130" s="8">
        <f>IF(B130="","",IFERROR(INDEX(Товары!$F$2:$F$51,MATCH(B130,Товары!$A$2:$A$51,0)),""))</f>
        <v/>
      </c>
      <c r="E130" s="8">
        <f>IF(OR(B130="",D130=""),"",C130*D130)</f>
        <v/>
      </c>
      <c r="F130" s="8">
        <f>IF(B130="","",IFERROR(C130*INDEX(Товары!$J$2:$J$51,MATCH(B130,Товары!$A$2:$A$51,0)),""))</f>
        <v/>
      </c>
      <c r="G130" s="2">
        <f>IF(A130="","",YEAR(A130)&amp;"-"&amp;TEXT(MONTH(A130),"00"))</f>
        <v/>
      </c>
    </row>
    <row r="131">
      <c r="A131" s="2" t="n"/>
      <c r="B131" s="2" t="n"/>
      <c r="C131" s="2" t="n"/>
      <c r="D131" s="8">
        <f>IF(B131="","",IFERROR(INDEX(Товары!$F$2:$F$51,MATCH(B131,Товары!$A$2:$A$51,0)),""))</f>
        <v/>
      </c>
      <c r="E131" s="8">
        <f>IF(OR(B131="",D131=""),"",C131*D131)</f>
        <v/>
      </c>
      <c r="F131" s="8">
        <f>IF(B131="","",IFERROR(C131*INDEX(Товары!$J$2:$J$51,MATCH(B131,Товары!$A$2:$A$51,0)),""))</f>
        <v/>
      </c>
      <c r="G131" s="2">
        <f>IF(A131="","",YEAR(A131)&amp;"-"&amp;TEXT(MONTH(A131),"00"))</f>
        <v/>
      </c>
    </row>
    <row r="132">
      <c r="A132" s="2" t="n"/>
      <c r="B132" s="2" t="n"/>
      <c r="C132" s="2" t="n"/>
      <c r="D132" s="8">
        <f>IF(B132="","",IFERROR(INDEX(Товары!$F$2:$F$51,MATCH(B132,Товары!$A$2:$A$51,0)),""))</f>
        <v/>
      </c>
      <c r="E132" s="8">
        <f>IF(OR(B132="",D132=""),"",C132*D132)</f>
        <v/>
      </c>
      <c r="F132" s="8">
        <f>IF(B132="","",IFERROR(C132*INDEX(Товары!$J$2:$J$51,MATCH(B132,Товары!$A$2:$A$51,0)),""))</f>
        <v/>
      </c>
      <c r="G132" s="2">
        <f>IF(A132="","",YEAR(A132)&amp;"-"&amp;TEXT(MONTH(A132),"00"))</f>
        <v/>
      </c>
    </row>
    <row r="133">
      <c r="A133" s="2" t="n"/>
      <c r="B133" s="2" t="n"/>
      <c r="C133" s="2" t="n"/>
      <c r="D133" s="8">
        <f>IF(B133="","",IFERROR(INDEX(Товары!$F$2:$F$51,MATCH(B133,Товары!$A$2:$A$51,0)),""))</f>
        <v/>
      </c>
      <c r="E133" s="8">
        <f>IF(OR(B133="",D133=""),"",C133*D133)</f>
        <v/>
      </c>
      <c r="F133" s="8">
        <f>IF(B133="","",IFERROR(C133*INDEX(Товары!$J$2:$J$51,MATCH(B133,Товары!$A$2:$A$51,0)),""))</f>
        <v/>
      </c>
      <c r="G133" s="2">
        <f>IF(A133="","",YEAR(A133)&amp;"-"&amp;TEXT(MONTH(A133),"00"))</f>
        <v/>
      </c>
    </row>
    <row r="134">
      <c r="A134" s="2" t="n"/>
      <c r="B134" s="2" t="n"/>
      <c r="C134" s="2" t="n"/>
      <c r="D134" s="8">
        <f>IF(B134="","",IFERROR(INDEX(Товары!$F$2:$F$51,MATCH(B134,Товары!$A$2:$A$51,0)),""))</f>
        <v/>
      </c>
      <c r="E134" s="8">
        <f>IF(OR(B134="",D134=""),"",C134*D134)</f>
        <v/>
      </c>
      <c r="F134" s="8">
        <f>IF(B134="","",IFERROR(C134*INDEX(Товары!$J$2:$J$51,MATCH(B134,Товары!$A$2:$A$51,0)),""))</f>
        <v/>
      </c>
      <c r="G134" s="2">
        <f>IF(A134="","",YEAR(A134)&amp;"-"&amp;TEXT(MONTH(A134),"00"))</f>
        <v/>
      </c>
    </row>
    <row r="135">
      <c r="A135" s="2" t="n"/>
      <c r="B135" s="2" t="n"/>
      <c r="C135" s="2" t="n"/>
      <c r="D135" s="8">
        <f>IF(B135="","",IFERROR(INDEX(Товары!$F$2:$F$51,MATCH(B135,Товары!$A$2:$A$51,0)),""))</f>
        <v/>
      </c>
      <c r="E135" s="8">
        <f>IF(OR(B135="",D135=""),"",C135*D135)</f>
        <v/>
      </c>
      <c r="F135" s="8">
        <f>IF(B135="","",IFERROR(C135*INDEX(Товары!$J$2:$J$51,MATCH(B135,Товары!$A$2:$A$51,0)),""))</f>
        <v/>
      </c>
      <c r="G135" s="2">
        <f>IF(A135="","",YEAR(A135)&amp;"-"&amp;TEXT(MONTH(A135),"00"))</f>
        <v/>
      </c>
    </row>
    <row r="136">
      <c r="A136" s="2" t="n"/>
      <c r="B136" s="2" t="n"/>
      <c r="C136" s="2" t="n"/>
      <c r="D136" s="8">
        <f>IF(B136="","",IFERROR(INDEX(Товары!$F$2:$F$51,MATCH(B136,Товары!$A$2:$A$51,0)),""))</f>
        <v/>
      </c>
      <c r="E136" s="8">
        <f>IF(OR(B136="",D136=""),"",C136*D136)</f>
        <v/>
      </c>
      <c r="F136" s="8">
        <f>IF(B136="","",IFERROR(C136*INDEX(Товары!$J$2:$J$51,MATCH(B136,Товары!$A$2:$A$51,0)),""))</f>
        <v/>
      </c>
      <c r="G136" s="2">
        <f>IF(A136="","",YEAR(A136)&amp;"-"&amp;TEXT(MONTH(A136),"00"))</f>
        <v/>
      </c>
    </row>
    <row r="137">
      <c r="A137" s="2" t="n"/>
      <c r="B137" s="2" t="n"/>
      <c r="C137" s="2" t="n"/>
      <c r="D137" s="8">
        <f>IF(B137="","",IFERROR(INDEX(Товары!$F$2:$F$51,MATCH(B137,Товары!$A$2:$A$51,0)),""))</f>
        <v/>
      </c>
      <c r="E137" s="8">
        <f>IF(OR(B137="",D137=""),"",C137*D137)</f>
        <v/>
      </c>
      <c r="F137" s="8">
        <f>IF(B137="","",IFERROR(C137*INDEX(Товары!$J$2:$J$51,MATCH(B137,Товары!$A$2:$A$51,0)),""))</f>
        <v/>
      </c>
      <c r="G137" s="2">
        <f>IF(A137="","",YEAR(A137)&amp;"-"&amp;TEXT(MONTH(A137),"00"))</f>
        <v/>
      </c>
    </row>
    <row r="138">
      <c r="A138" s="2" t="n"/>
      <c r="B138" s="2" t="n"/>
      <c r="C138" s="2" t="n"/>
      <c r="D138" s="8">
        <f>IF(B138="","",IFERROR(INDEX(Товары!$F$2:$F$51,MATCH(B138,Товары!$A$2:$A$51,0)),""))</f>
        <v/>
      </c>
      <c r="E138" s="8">
        <f>IF(OR(B138="",D138=""),"",C138*D138)</f>
        <v/>
      </c>
      <c r="F138" s="8">
        <f>IF(B138="","",IFERROR(C138*INDEX(Товары!$J$2:$J$51,MATCH(B138,Товары!$A$2:$A$51,0)),""))</f>
        <v/>
      </c>
      <c r="G138" s="2">
        <f>IF(A138="","",YEAR(A138)&amp;"-"&amp;TEXT(MONTH(A138),"00"))</f>
        <v/>
      </c>
    </row>
    <row r="139">
      <c r="A139" s="2" t="n"/>
      <c r="B139" s="2" t="n"/>
      <c r="C139" s="2" t="n"/>
      <c r="D139" s="8">
        <f>IF(B139="","",IFERROR(INDEX(Товары!$F$2:$F$51,MATCH(B139,Товары!$A$2:$A$51,0)),""))</f>
        <v/>
      </c>
      <c r="E139" s="8">
        <f>IF(OR(B139="",D139=""),"",C139*D139)</f>
        <v/>
      </c>
      <c r="F139" s="8">
        <f>IF(B139="","",IFERROR(C139*INDEX(Товары!$J$2:$J$51,MATCH(B139,Товары!$A$2:$A$51,0)),""))</f>
        <v/>
      </c>
      <c r="G139" s="2">
        <f>IF(A139="","",YEAR(A139)&amp;"-"&amp;TEXT(MONTH(A139),"00"))</f>
        <v/>
      </c>
    </row>
    <row r="140">
      <c r="A140" s="2" t="n"/>
      <c r="B140" s="2" t="n"/>
      <c r="C140" s="2" t="n"/>
      <c r="D140" s="8">
        <f>IF(B140="","",IFERROR(INDEX(Товары!$F$2:$F$51,MATCH(B140,Товары!$A$2:$A$51,0)),""))</f>
        <v/>
      </c>
      <c r="E140" s="8">
        <f>IF(OR(B140="",D140=""),"",C140*D140)</f>
        <v/>
      </c>
      <c r="F140" s="8">
        <f>IF(B140="","",IFERROR(C140*INDEX(Товары!$J$2:$J$51,MATCH(B140,Товары!$A$2:$A$51,0)),""))</f>
        <v/>
      </c>
      <c r="G140" s="2">
        <f>IF(A140="","",YEAR(A140)&amp;"-"&amp;TEXT(MONTH(A140),"00"))</f>
        <v/>
      </c>
    </row>
    <row r="141">
      <c r="A141" s="2" t="n"/>
      <c r="B141" s="2" t="n"/>
      <c r="C141" s="2" t="n"/>
      <c r="D141" s="8">
        <f>IF(B141="","",IFERROR(INDEX(Товары!$F$2:$F$51,MATCH(B141,Товары!$A$2:$A$51,0)),""))</f>
        <v/>
      </c>
      <c r="E141" s="8">
        <f>IF(OR(B141="",D141=""),"",C141*D141)</f>
        <v/>
      </c>
      <c r="F141" s="8">
        <f>IF(B141="","",IFERROR(C141*INDEX(Товары!$J$2:$J$51,MATCH(B141,Товары!$A$2:$A$51,0)),""))</f>
        <v/>
      </c>
      <c r="G141" s="2">
        <f>IF(A141="","",YEAR(A141)&amp;"-"&amp;TEXT(MONTH(A141),"00"))</f>
        <v/>
      </c>
    </row>
    <row r="142">
      <c r="A142" s="2" t="n"/>
      <c r="B142" s="2" t="n"/>
      <c r="C142" s="2" t="n"/>
      <c r="D142" s="8">
        <f>IF(B142="","",IFERROR(INDEX(Товары!$F$2:$F$51,MATCH(B142,Товары!$A$2:$A$51,0)),""))</f>
        <v/>
      </c>
      <c r="E142" s="8">
        <f>IF(OR(B142="",D142=""),"",C142*D142)</f>
        <v/>
      </c>
      <c r="F142" s="8">
        <f>IF(B142="","",IFERROR(C142*INDEX(Товары!$J$2:$J$51,MATCH(B142,Товары!$A$2:$A$51,0)),""))</f>
        <v/>
      </c>
      <c r="G142" s="2">
        <f>IF(A142="","",YEAR(A142)&amp;"-"&amp;TEXT(MONTH(A142),"00"))</f>
        <v/>
      </c>
    </row>
    <row r="143">
      <c r="A143" s="2" t="n"/>
      <c r="B143" s="2" t="n"/>
      <c r="C143" s="2" t="n"/>
      <c r="D143" s="8">
        <f>IF(B143="","",IFERROR(INDEX(Товары!$F$2:$F$51,MATCH(B143,Товары!$A$2:$A$51,0)),""))</f>
        <v/>
      </c>
      <c r="E143" s="8">
        <f>IF(OR(B143="",D143=""),"",C143*D143)</f>
        <v/>
      </c>
      <c r="F143" s="8">
        <f>IF(B143="","",IFERROR(C143*INDEX(Товары!$J$2:$J$51,MATCH(B143,Товары!$A$2:$A$51,0)),""))</f>
        <v/>
      </c>
      <c r="G143" s="2">
        <f>IF(A143="","",YEAR(A143)&amp;"-"&amp;TEXT(MONTH(A143),"00"))</f>
        <v/>
      </c>
    </row>
    <row r="144">
      <c r="A144" s="2" t="n"/>
      <c r="B144" s="2" t="n"/>
      <c r="C144" s="2" t="n"/>
      <c r="D144" s="8">
        <f>IF(B144="","",IFERROR(INDEX(Товары!$F$2:$F$51,MATCH(B144,Товары!$A$2:$A$51,0)),""))</f>
        <v/>
      </c>
      <c r="E144" s="8">
        <f>IF(OR(B144="",D144=""),"",C144*D144)</f>
        <v/>
      </c>
      <c r="F144" s="8">
        <f>IF(B144="","",IFERROR(C144*INDEX(Товары!$J$2:$J$51,MATCH(B144,Товары!$A$2:$A$51,0)),""))</f>
        <v/>
      </c>
      <c r="G144" s="2">
        <f>IF(A144="","",YEAR(A144)&amp;"-"&amp;TEXT(MONTH(A144),"00"))</f>
        <v/>
      </c>
    </row>
    <row r="145">
      <c r="A145" s="2" t="n"/>
      <c r="B145" s="2" t="n"/>
      <c r="C145" s="2" t="n"/>
      <c r="D145" s="8">
        <f>IF(B145="","",IFERROR(INDEX(Товары!$F$2:$F$51,MATCH(B145,Товары!$A$2:$A$51,0)),""))</f>
        <v/>
      </c>
      <c r="E145" s="8">
        <f>IF(OR(B145="",D145=""),"",C145*D145)</f>
        <v/>
      </c>
      <c r="F145" s="8">
        <f>IF(B145="","",IFERROR(C145*INDEX(Товары!$J$2:$J$51,MATCH(B145,Товары!$A$2:$A$51,0)),""))</f>
        <v/>
      </c>
      <c r="G145" s="2">
        <f>IF(A145="","",YEAR(A145)&amp;"-"&amp;TEXT(MONTH(A145),"00"))</f>
        <v/>
      </c>
    </row>
    <row r="146">
      <c r="A146" s="2" t="n"/>
      <c r="B146" s="2" t="n"/>
      <c r="C146" s="2" t="n"/>
      <c r="D146" s="8">
        <f>IF(B146="","",IFERROR(INDEX(Товары!$F$2:$F$51,MATCH(B146,Товары!$A$2:$A$51,0)),""))</f>
        <v/>
      </c>
      <c r="E146" s="8">
        <f>IF(OR(B146="",D146=""),"",C146*D146)</f>
        <v/>
      </c>
      <c r="F146" s="8">
        <f>IF(B146="","",IFERROR(C146*INDEX(Товары!$J$2:$J$51,MATCH(B146,Товары!$A$2:$A$51,0)),""))</f>
        <v/>
      </c>
      <c r="G146" s="2">
        <f>IF(A146="","",YEAR(A146)&amp;"-"&amp;TEXT(MONTH(A146),"00"))</f>
        <v/>
      </c>
    </row>
    <row r="147">
      <c r="A147" s="2" t="n"/>
      <c r="B147" s="2" t="n"/>
      <c r="C147" s="2" t="n"/>
      <c r="D147" s="8">
        <f>IF(B147="","",IFERROR(INDEX(Товары!$F$2:$F$51,MATCH(B147,Товары!$A$2:$A$51,0)),""))</f>
        <v/>
      </c>
      <c r="E147" s="8">
        <f>IF(OR(B147="",D147=""),"",C147*D147)</f>
        <v/>
      </c>
      <c r="F147" s="8">
        <f>IF(B147="","",IFERROR(C147*INDEX(Товары!$J$2:$J$51,MATCH(B147,Товары!$A$2:$A$51,0)),""))</f>
        <v/>
      </c>
      <c r="G147" s="2">
        <f>IF(A147="","",YEAR(A147)&amp;"-"&amp;TEXT(MONTH(A147),"00"))</f>
        <v/>
      </c>
    </row>
    <row r="148">
      <c r="A148" s="2" t="n"/>
      <c r="B148" s="2" t="n"/>
      <c r="C148" s="2" t="n"/>
      <c r="D148" s="8">
        <f>IF(B148="","",IFERROR(INDEX(Товары!$F$2:$F$51,MATCH(B148,Товары!$A$2:$A$51,0)),""))</f>
        <v/>
      </c>
      <c r="E148" s="8">
        <f>IF(OR(B148="",D148=""),"",C148*D148)</f>
        <v/>
      </c>
      <c r="F148" s="8">
        <f>IF(B148="","",IFERROR(C148*INDEX(Товары!$J$2:$J$51,MATCH(B148,Товары!$A$2:$A$51,0)),""))</f>
        <v/>
      </c>
      <c r="G148" s="2">
        <f>IF(A148="","",YEAR(A148)&amp;"-"&amp;TEXT(MONTH(A148),"00"))</f>
        <v/>
      </c>
    </row>
    <row r="149">
      <c r="A149" s="2" t="n"/>
      <c r="B149" s="2" t="n"/>
      <c r="C149" s="2" t="n"/>
      <c r="D149" s="8">
        <f>IF(B149="","",IFERROR(INDEX(Товары!$F$2:$F$51,MATCH(B149,Товары!$A$2:$A$51,0)),""))</f>
        <v/>
      </c>
      <c r="E149" s="8">
        <f>IF(OR(B149="",D149=""),"",C149*D149)</f>
        <v/>
      </c>
      <c r="F149" s="8">
        <f>IF(B149="","",IFERROR(C149*INDEX(Товары!$J$2:$J$51,MATCH(B149,Товары!$A$2:$A$51,0)),""))</f>
        <v/>
      </c>
      <c r="G149" s="2">
        <f>IF(A149="","",YEAR(A149)&amp;"-"&amp;TEXT(MONTH(A149),"00"))</f>
        <v/>
      </c>
    </row>
    <row r="150">
      <c r="A150" s="2" t="n"/>
      <c r="B150" s="2" t="n"/>
      <c r="C150" s="2" t="n"/>
      <c r="D150" s="8">
        <f>IF(B150="","",IFERROR(INDEX(Товары!$F$2:$F$51,MATCH(B150,Товары!$A$2:$A$51,0)),""))</f>
        <v/>
      </c>
      <c r="E150" s="8">
        <f>IF(OR(B150="",D150=""),"",C150*D150)</f>
        <v/>
      </c>
      <c r="F150" s="8">
        <f>IF(B150="","",IFERROR(C150*INDEX(Товары!$J$2:$J$51,MATCH(B150,Товары!$A$2:$A$51,0)),""))</f>
        <v/>
      </c>
      <c r="G150" s="2">
        <f>IF(A150="","",YEAR(A150)&amp;"-"&amp;TEXT(MONTH(A150),"00"))</f>
        <v/>
      </c>
    </row>
    <row r="151">
      <c r="A151" s="2" t="n"/>
      <c r="B151" s="2" t="n"/>
      <c r="C151" s="2" t="n"/>
      <c r="D151" s="8">
        <f>IF(B151="","",IFERROR(INDEX(Товары!$F$2:$F$51,MATCH(B151,Товары!$A$2:$A$51,0)),""))</f>
        <v/>
      </c>
      <c r="E151" s="8">
        <f>IF(OR(B151="",D151=""),"",C151*D151)</f>
        <v/>
      </c>
      <c r="F151" s="8">
        <f>IF(B151="","",IFERROR(C151*INDEX(Товары!$J$2:$J$51,MATCH(B151,Товары!$A$2:$A$51,0)),""))</f>
        <v/>
      </c>
      <c r="G151" s="2">
        <f>IF(A151="","",YEAR(A151)&amp;"-"&amp;TEXT(MONTH(A151),"00"))</f>
        <v/>
      </c>
    </row>
    <row r="152">
      <c r="A152" s="2" t="n"/>
      <c r="B152" s="2" t="n"/>
      <c r="C152" s="2" t="n"/>
      <c r="D152" s="8">
        <f>IF(B152="","",IFERROR(INDEX(Товары!$F$2:$F$51,MATCH(B152,Товары!$A$2:$A$51,0)),""))</f>
        <v/>
      </c>
      <c r="E152" s="8">
        <f>IF(OR(B152="",D152=""),"",C152*D152)</f>
        <v/>
      </c>
      <c r="F152" s="8">
        <f>IF(B152="","",IFERROR(C152*INDEX(Товары!$J$2:$J$51,MATCH(B152,Товары!$A$2:$A$51,0)),""))</f>
        <v/>
      </c>
      <c r="G152" s="2">
        <f>IF(A152="","",YEAR(A152)&amp;"-"&amp;TEXT(MONTH(A152),"00"))</f>
        <v/>
      </c>
    </row>
    <row r="153">
      <c r="A153" s="2" t="n"/>
      <c r="B153" s="2" t="n"/>
      <c r="C153" s="2" t="n"/>
      <c r="D153" s="8">
        <f>IF(B153="","",IFERROR(INDEX(Товары!$F$2:$F$51,MATCH(B153,Товары!$A$2:$A$51,0)),""))</f>
        <v/>
      </c>
      <c r="E153" s="8">
        <f>IF(OR(B153="",D153=""),"",C153*D153)</f>
        <v/>
      </c>
      <c r="F153" s="8">
        <f>IF(B153="","",IFERROR(C153*INDEX(Товары!$J$2:$J$51,MATCH(B153,Товары!$A$2:$A$51,0)),""))</f>
        <v/>
      </c>
      <c r="G153" s="2">
        <f>IF(A153="","",YEAR(A153)&amp;"-"&amp;TEXT(MONTH(A153),"00"))</f>
        <v/>
      </c>
    </row>
    <row r="154">
      <c r="A154" s="2" t="n"/>
      <c r="B154" s="2" t="n"/>
      <c r="C154" s="2" t="n"/>
      <c r="D154" s="8">
        <f>IF(B154="","",IFERROR(INDEX(Товары!$F$2:$F$51,MATCH(B154,Товары!$A$2:$A$51,0)),""))</f>
        <v/>
      </c>
      <c r="E154" s="8">
        <f>IF(OR(B154="",D154=""),"",C154*D154)</f>
        <v/>
      </c>
      <c r="F154" s="8">
        <f>IF(B154="","",IFERROR(C154*INDEX(Товары!$J$2:$J$51,MATCH(B154,Товары!$A$2:$A$51,0)),""))</f>
        <v/>
      </c>
      <c r="G154" s="2">
        <f>IF(A154="","",YEAR(A154)&amp;"-"&amp;TEXT(MONTH(A154),"00"))</f>
        <v/>
      </c>
    </row>
    <row r="155">
      <c r="A155" s="2" t="n"/>
      <c r="B155" s="2" t="n"/>
      <c r="C155" s="2" t="n"/>
      <c r="D155" s="8">
        <f>IF(B155="","",IFERROR(INDEX(Товары!$F$2:$F$51,MATCH(B155,Товары!$A$2:$A$51,0)),""))</f>
        <v/>
      </c>
      <c r="E155" s="8">
        <f>IF(OR(B155="",D155=""),"",C155*D155)</f>
        <v/>
      </c>
      <c r="F155" s="8">
        <f>IF(B155="","",IFERROR(C155*INDEX(Товары!$J$2:$J$51,MATCH(B155,Товары!$A$2:$A$51,0)),""))</f>
        <v/>
      </c>
      <c r="G155" s="2">
        <f>IF(A155="","",YEAR(A155)&amp;"-"&amp;TEXT(MONTH(A155),"00"))</f>
        <v/>
      </c>
    </row>
    <row r="156">
      <c r="A156" s="2" t="n"/>
      <c r="B156" s="2" t="n"/>
      <c r="C156" s="2" t="n"/>
      <c r="D156" s="8">
        <f>IF(B156="","",IFERROR(INDEX(Товары!$F$2:$F$51,MATCH(B156,Товары!$A$2:$A$51,0)),""))</f>
        <v/>
      </c>
      <c r="E156" s="8">
        <f>IF(OR(B156="",D156=""),"",C156*D156)</f>
        <v/>
      </c>
      <c r="F156" s="8">
        <f>IF(B156="","",IFERROR(C156*INDEX(Товары!$J$2:$J$51,MATCH(B156,Товары!$A$2:$A$51,0)),""))</f>
        <v/>
      </c>
      <c r="G156" s="2">
        <f>IF(A156="","",YEAR(A156)&amp;"-"&amp;TEXT(MONTH(A156),"00"))</f>
        <v/>
      </c>
    </row>
    <row r="157">
      <c r="A157" s="2" t="n"/>
      <c r="B157" s="2" t="n"/>
      <c r="C157" s="2" t="n"/>
      <c r="D157" s="8">
        <f>IF(B157="","",IFERROR(INDEX(Товары!$F$2:$F$51,MATCH(B157,Товары!$A$2:$A$51,0)),""))</f>
        <v/>
      </c>
      <c r="E157" s="8">
        <f>IF(OR(B157="",D157=""),"",C157*D157)</f>
        <v/>
      </c>
      <c r="F157" s="8">
        <f>IF(B157="","",IFERROR(C157*INDEX(Товары!$J$2:$J$51,MATCH(B157,Товары!$A$2:$A$51,0)),""))</f>
        <v/>
      </c>
      <c r="G157" s="2">
        <f>IF(A157="","",YEAR(A157)&amp;"-"&amp;TEXT(MONTH(A157),"00"))</f>
        <v/>
      </c>
    </row>
    <row r="158">
      <c r="A158" s="2" t="n"/>
      <c r="B158" s="2" t="n"/>
      <c r="C158" s="2" t="n"/>
      <c r="D158" s="8">
        <f>IF(B158="","",IFERROR(INDEX(Товары!$F$2:$F$51,MATCH(B158,Товары!$A$2:$A$51,0)),""))</f>
        <v/>
      </c>
      <c r="E158" s="8">
        <f>IF(OR(B158="",D158=""),"",C158*D158)</f>
        <v/>
      </c>
      <c r="F158" s="8">
        <f>IF(B158="","",IFERROR(C158*INDEX(Товары!$J$2:$J$51,MATCH(B158,Товары!$A$2:$A$51,0)),""))</f>
        <v/>
      </c>
      <c r="G158" s="2">
        <f>IF(A158="","",YEAR(A158)&amp;"-"&amp;TEXT(MONTH(A158),"00"))</f>
        <v/>
      </c>
    </row>
    <row r="159">
      <c r="A159" s="2" t="n"/>
      <c r="B159" s="2" t="n"/>
      <c r="C159" s="2" t="n"/>
      <c r="D159" s="8">
        <f>IF(B159="","",IFERROR(INDEX(Товары!$F$2:$F$51,MATCH(B159,Товары!$A$2:$A$51,0)),""))</f>
        <v/>
      </c>
      <c r="E159" s="8">
        <f>IF(OR(B159="",D159=""),"",C159*D159)</f>
        <v/>
      </c>
      <c r="F159" s="8">
        <f>IF(B159="","",IFERROR(C159*INDEX(Товары!$J$2:$J$51,MATCH(B159,Товары!$A$2:$A$51,0)),""))</f>
        <v/>
      </c>
      <c r="G159" s="2">
        <f>IF(A159="","",YEAR(A159)&amp;"-"&amp;TEXT(MONTH(A159),"00"))</f>
        <v/>
      </c>
    </row>
    <row r="160">
      <c r="A160" s="2" t="n"/>
      <c r="B160" s="2" t="n"/>
      <c r="C160" s="2" t="n"/>
      <c r="D160" s="8">
        <f>IF(B160="","",IFERROR(INDEX(Товары!$F$2:$F$51,MATCH(B160,Товары!$A$2:$A$51,0)),""))</f>
        <v/>
      </c>
      <c r="E160" s="8">
        <f>IF(OR(B160="",D160=""),"",C160*D160)</f>
        <v/>
      </c>
      <c r="F160" s="8">
        <f>IF(B160="","",IFERROR(C160*INDEX(Товары!$J$2:$J$51,MATCH(B160,Товары!$A$2:$A$51,0)),""))</f>
        <v/>
      </c>
      <c r="G160" s="2">
        <f>IF(A160="","",YEAR(A160)&amp;"-"&amp;TEXT(MONTH(A160),"00"))</f>
        <v/>
      </c>
    </row>
    <row r="161">
      <c r="A161" s="2" t="n"/>
      <c r="B161" s="2" t="n"/>
      <c r="C161" s="2" t="n"/>
      <c r="D161" s="8">
        <f>IF(B161="","",IFERROR(INDEX(Товары!$F$2:$F$51,MATCH(B161,Товары!$A$2:$A$51,0)),""))</f>
        <v/>
      </c>
      <c r="E161" s="8">
        <f>IF(OR(B161="",D161=""),"",C161*D161)</f>
        <v/>
      </c>
      <c r="F161" s="8">
        <f>IF(B161="","",IFERROR(C161*INDEX(Товары!$J$2:$J$51,MATCH(B161,Товары!$A$2:$A$51,0)),""))</f>
        <v/>
      </c>
      <c r="G161" s="2">
        <f>IF(A161="","",YEAR(A161)&amp;"-"&amp;TEXT(MONTH(A161),"00"))</f>
        <v/>
      </c>
    </row>
    <row r="162">
      <c r="A162" s="2" t="n"/>
      <c r="B162" s="2" t="n"/>
      <c r="C162" s="2" t="n"/>
      <c r="D162" s="8">
        <f>IF(B162="","",IFERROR(INDEX(Товары!$F$2:$F$51,MATCH(B162,Товары!$A$2:$A$51,0)),""))</f>
        <v/>
      </c>
      <c r="E162" s="8">
        <f>IF(OR(B162="",D162=""),"",C162*D162)</f>
        <v/>
      </c>
      <c r="F162" s="8">
        <f>IF(B162="","",IFERROR(C162*INDEX(Товары!$J$2:$J$51,MATCH(B162,Товары!$A$2:$A$51,0)),""))</f>
        <v/>
      </c>
      <c r="G162" s="2">
        <f>IF(A162="","",YEAR(A162)&amp;"-"&amp;TEXT(MONTH(A162),"00"))</f>
        <v/>
      </c>
    </row>
    <row r="163">
      <c r="A163" s="2" t="n"/>
      <c r="B163" s="2" t="n"/>
      <c r="C163" s="2" t="n"/>
      <c r="D163" s="8">
        <f>IF(B163="","",IFERROR(INDEX(Товары!$F$2:$F$51,MATCH(B163,Товары!$A$2:$A$51,0)),""))</f>
        <v/>
      </c>
      <c r="E163" s="8">
        <f>IF(OR(B163="",D163=""),"",C163*D163)</f>
        <v/>
      </c>
      <c r="F163" s="8">
        <f>IF(B163="","",IFERROR(C163*INDEX(Товары!$J$2:$J$51,MATCH(B163,Товары!$A$2:$A$51,0)),""))</f>
        <v/>
      </c>
      <c r="G163" s="2">
        <f>IF(A163="","",YEAR(A163)&amp;"-"&amp;TEXT(MONTH(A163),"00"))</f>
        <v/>
      </c>
    </row>
    <row r="164">
      <c r="A164" s="2" t="n"/>
      <c r="B164" s="2" t="n"/>
      <c r="C164" s="2" t="n"/>
      <c r="D164" s="8">
        <f>IF(B164="","",IFERROR(INDEX(Товары!$F$2:$F$51,MATCH(B164,Товары!$A$2:$A$51,0)),""))</f>
        <v/>
      </c>
      <c r="E164" s="8">
        <f>IF(OR(B164="",D164=""),"",C164*D164)</f>
        <v/>
      </c>
      <c r="F164" s="8">
        <f>IF(B164="","",IFERROR(C164*INDEX(Товары!$J$2:$J$51,MATCH(B164,Товары!$A$2:$A$51,0)),""))</f>
        <v/>
      </c>
      <c r="G164" s="2">
        <f>IF(A164="","",YEAR(A164)&amp;"-"&amp;TEXT(MONTH(A164),"00"))</f>
        <v/>
      </c>
    </row>
    <row r="165">
      <c r="A165" s="2" t="n"/>
      <c r="B165" s="2" t="n"/>
      <c r="C165" s="2" t="n"/>
      <c r="D165" s="8">
        <f>IF(B165="","",IFERROR(INDEX(Товары!$F$2:$F$51,MATCH(B165,Товары!$A$2:$A$51,0)),""))</f>
        <v/>
      </c>
      <c r="E165" s="8">
        <f>IF(OR(B165="",D165=""),"",C165*D165)</f>
        <v/>
      </c>
      <c r="F165" s="8">
        <f>IF(B165="","",IFERROR(C165*INDEX(Товары!$J$2:$J$51,MATCH(B165,Товары!$A$2:$A$51,0)),""))</f>
        <v/>
      </c>
      <c r="G165" s="2">
        <f>IF(A165="","",YEAR(A165)&amp;"-"&amp;TEXT(MONTH(A165),"00"))</f>
        <v/>
      </c>
    </row>
    <row r="166">
      <c r="A166" s="2" t="n"/>
      <c r="B166" s="2" t="n"/>
      <c r="C166" s="2" t="n"/>
      <c r="D166" s="8">
        <f>IF(B166="","",IFERROR(INDEX(Товары!$F$2:$F$51,MATCH(B166,Товары!$A$2:$A$51,0)),""))</f>
        <v/>
      </c>
      <c r="E166" s="8">
        <f>IF(OR(B166="",D166=""),"",C166*D166)</f>
        <v/>
      </c>
      <c r="F166" s="8">
        <f>IF(B166="","",IFERROR(C166*INDEX(Товары!$J$2:$J$51,MATCH(B166,Товары!$A$2:$A$51,0)),""))</f>
        <v/>
      </c>
      <c r="G166" s="2">
        <f>IF(A166="","",YEAR(A166)&amp;"-"&amp;TEXT(MONTH(A166),"00"))</f>
        <v/>
      </c>
    </row>
    <row r="167">
      <c r="A167" s="2" t="n"/>
      <c r="B167" s="2" t="n"/>
      <c r="C167" s="2" t="n"/>
      <c r="D167" s="8">
        <f>IF(B167="","",IFERROR(INDEX(Товары!$F$2:$F$51,MATCH(B167,Товары!$A$2:$A$51,0)),""))</f>
        <v/>
      </c>
      <c r="E167" s="8">
        <f>IF(OR(B167="",D167=""),"",C167*D167)</f>
        <v/>
      </c>
      <c r="F167" s="8">
        <f>IF(B167="","",IFERROR(C167*INDEX(Товары!$J$2:$J$51,MATCH(B167,Товары!$A$2:$A$51,0)),""))</f>
        <v/>
      </c>
      <c r="G167" s="2">
        <f>IF(A167="","",YEAR(A167)&amp;"-"&amp;TEXT(MONTH(A167),"00"))</f>
        <v/>
      </c>
    </row>
    <row r="168">
      <c r="A168" s="2" t="n"/>
      <c r="B168" s="2" t="n"/>
      <c r="C168" s="2" t="n"/>
      <c r="D168" s="8">
        <f>IF(B168="","",IFERROR(INDEX(Товары!$F$2:$F$51,MATCH(B168,Товары!$A$2:$A$51,0)),""))</f>
        <v/>
      </c>
      <c r="E168" s="8">
        <f>IF(OR(B168="",D168=""),"",C168*D168)</f>
        <v/>
      </c>
      <c r="F168" s="8">
        <f>IF(B168="","",IFERROR(C168*INDEX(Товары!$J$2:$J$51,MATCH(B168,Товары!$A$2:$A$51,0)),""))</f>
        <v/>
      </c>
      <c r="G168" s="2">
        <f>IF(A168="","",YEAR(A168)&amp;"-"&amp;TEXT(MONTH(A168),"00"))</f>
        <v/>
      </c>
    </row>
    <row r="169">
      <c r="A169" s="2" t="n"/>
      <c r="B169" s="2" t="n"/>
      <c r="C169" s="2" t="n"/>
      <c r="D169" s="8">
        <f>IF(B169="","",IFERROR(INDEX(Товары!$F$2:$F$51,MATCH(B169,Товары!$A$2:$A$51,0)),""))</f>
        <v/>
      </c>
      <c r="E169" s="8">
        <f>IF(OR(B169="",D169=""),"",C169*D169)</f>
        <v/>
      </c>
      <c r="F169" s="8">
        <f>IF(B169="","",IFERROR(C169*INDEX(Товары!$J$2:$J$51,MATCH(B169,Товары!$A$2:$A$51,0)),""))</f>
        <v/>
      </c>
      <c r="G169" s="2">
        <f>IF(A169="","",YEAR(A169)&amp;"-"&amp;TEXT(MONTH(A169),"00"))</f>
        <v/>
      </c>
    </row>
    <row r="170">
      <c r="A170" s="2" t="n"/>
      <c r="B170" s="2" t="n"/>
      <c r="C170" s="2" t="n"/>
      <c r="D170" s="8">
        <f>IF(B170="","",IFERROR(INDEX(Товары!$F$2:$F$51,MATCH(B170,Товары!$A$2:$A$51,0)),""))</f>
        <v/>
      </c>
      <c r="E170" s="8">
        <f>IF(OR(B170="",D170=""),"",C170*D170)</f>
        <v/>
      </c>
      <c r="F170" s="8">
        <f>IF(B170="","",IFERROR(C170*INDEX(Товары!$J$2:$J$51,MATCH(B170,Товары!$A$2:$A$51,0)),""))</f>
        <v/>
      </c>
      <c r="G170" s="2">
        <f>IF(A170="","",YEAR(A170)&amp;"-"&amp;TEXT(MONTH(A170),"00"))</f>
        <v/>
      </c>
    </row>
    <row r="171">
      <c r="A171" s="2" t="n"/>
      <c r="B171" s="2" t="n"/>
      <c r="C171" s="2" t="n"/>
      <c r="D171" s="8">
        <f>IF(B171="","",IFERROR(INDEX(Товары!$F$2:$F$51,MATCH(B171,Товары!$A$2:$A$51,0)),""))</f>
        <v/>
      </c>
      <c r="E171" s="8">
        <f>IF(OR(B171="",D171=""),"",C171*D171)</f>
        <v/>
      </c>
      <c r="F171" s="8">
        <f>IF(B171="","",IFERROR(C171*INDEX(Товары!$J$2:$J$51,MATCH(B171,Товары!$A$2:$A$51,0)),""))</f>
        <v/>
      </c>
      <c r="G171" s="2">
        <f>IF(A171="","",YEAR(A171)&amp;"-"&amp;TEXT(MONTH(A171),"00"))</f>
        <v/>
      </c>
    </row>
    <row r="172">
      <c r="A172" s="2" t="n"/>
      <c r="B172" s="2" t="n"/>
      <c r="C172" s="2" t="n"/>
      <c r="D172" s="8">
        <f>IF(B172="","",IFERROR(INDEX(Товары!$F$2:$F$51,MATCH(B172,Товары!$A$2:$A$51,0)),""))</f>
        <v/>
      </c>
      <c r="E172" s="8">
        <f>IF(OR(B172="",D172=""),"",C172*D172)</f>
        <v/>
      </c>
      <c r="F172" s="8">
        <f>IF(B172="","",IFERROR(C172*INDEX(Товары!$J$2:$J$51,MATCH(B172,Товары!$A$2:$A$51,0)),""))</f>
        <v/>
      </c>
      <c r="G172" s="2">
        <f>IF(A172="","",YEAR(A172)&amp;"-"&amp;TEXT(MONTH(A172),"00"))</f>
        <v/>
      </c>
    </row>
    <row r="173">
      <c r="A173" s="2" t="n"/>
      <c r="B173" s="2" t="n"/>
      <c r="C173" s="2" t="n"/>
      <c r="D173" s="8">
        <f>IF(B173="","",IFERROR(INDEX(Товары!$F$2:$F$51,MATCH(B173,Товары!$A$2:$A$51,0)),""))</f>
        <v/>
      </c>
      <c r="E173" s="8">
        <f>IF(OR(B173="",D173=""),"",C173*D173)</f>
        <v/>
      </c>
      <c r="F173" s="8">
        <f>IF(B173="","",IFERROR(C173*INDEX(Товары!$J$2:$J$51,MATCH(B173,Товары!$A$2:$A$51,0)),""))</f>
        <v/>
      </c>
      <c r="G173" s="2">
        <f>IF(A173="","",YEAR(A173)&amp;"-"&amp;TEXT(MONTH(A173),"00"))</f>
        <v/>
      </c>
    </row>
    <row r="174">
      <c r="A174" s="2" t="n"/>
      <c r="B174" s="2" t="n"/>
      <c r="C174" s="2" t="n"/>
      <c r="D174" s="8">
        <f>IF(B174="","",IFERROR(INDEX(Товары!$F$2:$F$51,MATCH(B174,Товары!$A$2:$A$51,0)),""))</f>
        <v/>
      </c>
      <c r="E174" s="8">
        <f>IF(OR(B174="",D174=""),"",C174*D174)</f>
        <v/>
      </c>
      <c r="F174" s="8">
        <f>IF(B174="","",IFERROR(C174*INDEX(Товары!$J$2:$J$51,MATCH(B174,Товары!$A$2:$A$51,0)),""))</f>
        <v/>
      </c>
      <c r="G174" s="2">
        <f>IF(A174="","",YEAR(A174)&amp;"-"&amp;TEXT(MONTH(A174),"00"))</f>
        <v/>
      </c>
    </row>
    <row r="175">
      <c r="A175" s="2" t="n"/>
      <c r="B175" s="2" t="n"/>
      <c r="C175" s="2" t="n"/>
      <c r="D175" s="8">
        <f>IF(B175="","",IFERROR(INDEX(Товары!$F$2:$F$51,MATCH(B175,Товары!$A$2:$A$51,0)),""))</f>
        <v/>
      </c>
      <c r="E175" s="8">
        <f>IF(OR(B175="",D175=""),"",C175*D175)</f>
        <v/>
      </c>
      <c r="F175" s="8">
        <f>IF(B175="","",IFERROR(C175*INDEX(Товары!$J$2:$J$51,MATCH(B175,Товары!$A$2:$A$51,0)),""))</f>
        <v/>
      </c>
      <c r="G175" s="2">
        <f>IF(A175="","",YEAR(A175)&amp;"-"&amp;TEXT(MONTH(A175),"00"))</f>
        <v/>
      </c>
    </row>
    <row r="176">
      <c r="A176" s="2" t="n"/>
      <c r="B176" s="2" t="n"/>
      <c r="C176" s="2" t="n"/>
      <c r="D176" s="8">
        <f>IF(B176="","",IFERROR(INDEX(Товары!$F$2:$F$51,MATCH(B176,Товары!$A$2:$A$51,0)),""))</f>
        <v/>
      </c>
      <c r="E176" s="8">
        <f>IF(OR(B176="",D176=""),"",C176*D176)</f>
        <v/>
      </c>
      <c r="F176" s="8">
        <f>IF(B176="","",IFERROR(C176*INDEX(Товары!$J$2:$J$51,MATCH(B176,Товары!$A$2:$A$51,0)),""))</f>
        <v/>
      </c>
      <c r="G176" s="2">
        <f>IF(A176="","",YEAR(A176)&amp;"-"&amp;TEXT(MONTH(A176),"00"))</f>
        <v/>
      </c>
    </row>
    <row r="177">
      <c r="A177" s="2" t="n"/>
      <c r="B177" s="2" t="n"/>
      <c r="C177" s="2" t="n"/>
      <c r="D177" s="8">
        <f>IF(B177="","",IFERROR(INDEX(Товары!$F$2:$F$51,MATCH(B177,Товары!$A$2:$A$51,0)),""))</f>
        <v/>
      </c>
      <c r="E177" s="8">
        <f>IF(OR(B177="",D177=""),"",C177*D177)</f>
        <v/>
      </c>
      <c r="F177" s="8">
        <f>IF(B177="","",IFERROR(C177*INDEX(Товары!$J$2:$J$51,MATCH(B177,Товары!$A$2:$A$51,0)),""))</f>
        <v/>
      </c>
      <c r="G177" s="2">
        <f>IF(A177="","",YEAR(A177)&amp;"-"&amp;TEXT(MONTH(A177),"00"))</f>
        <v/>
      </c>
    </row>
    <row r="178">
      <c r="A178" s="2" t="n"/>
      <c r="B178" s="2" t="n"/>
      <c r="C178" s="2" t="n"/>
      <c r="D178" s="8">
        <f>IF(B178="","",IFERROR(INDEX(Товары!$F$2:$F$51,MATCH(B178,Товары!$A$2:$A$51,0)),""))</f>
        <v/>
      </c>
      <c r="E178" s="8">
        <f>IF(OR(B178="",D178=""),"",C178*D178)</f>
        <v/>
      </c>
      <c r="F178" s="8">
        <f>IF(B178="","",IFERROR(C178*INDEX(Товары!$J$2:$J$51,MATCH(B178,Товары!$A$2:$A$51,0)),""))</f>
        <v/>
      </c>
      <c r="G178" s="2">
        <f>IF(A178="","",YEAR(A178)&amp;"-"&amp;TEXT(MONTH(A178),"00"))</f>
        <v/>
      </c>
    </row>
    <row r="179">
      <c r="A179" s="2" t="n"/>
      <c r="B179" s="2" t="n"/>
      <c r="C179" s="2" t="n"/>
      <c r="D179" s="8">
        <f>IF(B179="","",IFERROR(INDEX(Товары!$F$2:$F$51,MATCH(B179,Товары!$A$2:$A$51,0)),""))</f>
        <v/>
      </c>
      <c r="E179" s="8">
        <f>IF(OR(B179="",D179=""),"",C179*D179)</f>
        <v/>
      </c>
      <c r="F179" s="8">
        <f>IF(B179="","",IFERROR(C179*INDEX(Товары!$J$2:$J$51,MATCH(B179,Товары!$A$2:$A$51,0)),""))</f>
        <v/>
      </c>
      <c r="G179" s="2">
        <f>IF(A179="","",YEAR(A179)&amp;"-"&amp;TEXT(MONTH(A179),"00"))</f>
        <v/>
      </c>
    </row>
    <row r="180">
      <c r="A180" s="2" t="n"/>
      <c r="B180" s="2" t="n"/>
      <c r="C180" s="2" t="n"/>
      <c r="D180" s="8">
        <f>IF(B180="","",IFERROR(INDEX(Товары!$F$2:$F$51,MATCH(B180,Товары!$A$2:$A$51,0)),""))</f>
        <v/>
      </c>
      <c r="E180" s="8">
        <f>IF(OR(B180="",D180=""),"",C180*D180)</f>
        <v/>
      </c>
      <c r="F180" s="8">
        <f>IF(B180="","",IFERROR(C180*INDEX(Товары!$J$2:$J$51,MATCH(B180,Товары!$A$2:$A$51,0)),""))</f>
        <v/>
      </c>
      <c r="G180" s="2">
        <f>IF(A180="","",YEAR(A180)&amp;"-"&amp;TEXT(MONTH(A180),"00"))</f>
        <v/>
      </c>
    </row>
    <row r="181">
      <c r="A181" s="2" t="n"/>
      <c r="B181" s="2" t="n"/>
      <c r="C181" s="2" t="n"/>
      <c r="D181" s="8">
        <f>IF(B181="","",IFERROR(INDEX(Товары!$F$2:$F$51,MATCH(B181,Товары!$A$2:$A$51,0)),""))</f>
        <v/>
      </c>
      <c r="E181" s="8">
        <f>IF(OR(B181="",D181=""),"",C181*D181)</f>
        <v/>
      </c>
      <c r="F181" s="8">
        <f>IF(B181="","",IFERROR(C181*INDEX(Товары!$J$2:$J$51,MATCH(B181,Товары!$A$2:$A$51,0)),""))</f>
        <v/>
      </c>
      <c r="G181" s="2">
        <f>IF(A181="","",YEAR(A181)&amp;"-"&amp;TEXT(MONTH(A181),"00"))</f>
        <v/>
      </c>
    </row>
    <row r="182">
      <c r="A182" s="2" t="n"/>
      <c r="B182" s="2" t="n"/>
      <c r="C182" s="2" t="n"/>
      <c r="D182" s="8">
        <f>IF(B182="","",IFERROR(INDEX(Товары!$F$2:$F$51,MATCH(B182,Товары!$A$2:$A$51,0)),""))</f>
        <v/>
      </c>
      <c r="E182" s="8">
        <f>IF(OR(B182="",D182=""),"",C182*D182)</f>
        <v/>
      </c>
      <c r="F182" s="8">
        <f>IF(B182="","",IFERROR(C182*INDEX(Товары!$J$2:$J$51,MATCH(B182,Товары!$A$2:$A$51,0)),""))</f>
        <v/>
      </c>
      <c r="G182" s="2">
        <f>IF(A182="","",YEAR(A182)&amp;"-"&amp;TEXT(MONTH(A182),"00"))</f>
        <v/>
      </c>
    </row>
    <row r="183">
      <c r="A183" s="2" t="n"/>
      <c r="B183" s="2" t="n"/>
      <c r="C183" s="2" t="n"/>
      <c r="D183" s="8">
        <f>IF(B183="","",IFERROR(INDEX(Товары!$F$2:$F$51,MATCH(B183,Товары!$A$2:$A$51,0)),""))</f>
        <v/>
      </c>
      <c r="E183" s="8">
        <f>IF(OR(B183="",D183=""),"",C183*D183)</f>
        <v/>
      </c>
      <c r="F183" s="8">
        <f>IF(B183="","",IFERROR(C183*INDEX(Товары!$J$2:$J$51,MATCH(B183,Товары!$A$2:$A$51,0)),""))</f>
        <v/>
      </c>
      <c r="G183" s="2">
        <f>IF(A183="","",YEAR(A183)&amp;"-"&amp;TEXT(MONTH(A183),"00"))</f>
        <v/>
      </c>
    </row>
    <row r="184">
      <c r="A184" s="2" t="n"/>
      <c r="B184" s="2" t="n"/>
      <c r="C184" s="2" t="n"/>
      <c r="D184" s="8">
        <f>IF(B184="","",IFERROR(INDEX(Товары!$F$2:$F$51,MATCH(B184,Товары!$A$2:$A$51,0)),""))</f>
        <v/>
      </c>
      <c r="E184" s="8">
        <f>IF(OR(B184="",D184=""),"",C184*D184)</f>
        <v/>
      </c>
      <c r="F184" s="8">
        <f>IF(B184="","",IFERROR(C184*INDEX(Товары!$J$2:$J$51,MATCH(B184,Товары!$A$2:$A$51,0)),""))</f>
        <v/>
      </c>
      <c r="G184" s="2">
        <f>IF(A184="","",YEAR(A184)&amp;"-"&amp;TEXT(MONTH(A184),"00"))</f>
        <v/>
      </c>
    </row>
    <row r="185">
      <c r="A185" s="2" t="n"/>
      <c r="B185" s="2" t="n"/>
      <c r="C185" s="2" t="n"/>
      <c r="D185" s="8">
        <f>IF(B185="","",IFERROR(INDEX(Товары!$F$2:$F$51,MATCH(B185,Товары!$A$2:$A$51,0)),""))</f>
        <v/>
      </c>
      <c r="E185" s="8">
        <f>IF(OR(B185="",D185=""),"",C185*D185)</f>
        <v/>
      </c>
      <c r="F185" s="8">
        <f>IF(B185="","",IFERROR(C185*INDEX(Товары!$J$2:$J$51,MATCH(B185,Товары!$A$2:$A$51,0)),""))</f>
        <v/>
      </c>
      <c r="G185" s="2">
        <f>IF(A185="","",YEAR(A185)&amp;"-"&amp;TEXT(MONTH(A185),"00"))</f>
        <v/>
      </c>
    </row>
    <row r="186">
      <c r="A186" s="2" t="n"/>
      <c r="B186" s="2" t="n"/>
      <c r="C186" s="2" t="n"/>
      <c r="D186" s="8">
        <f>IF(B186="","",IFERROR(INDEX(Товары!$F$2:$F$51,MATCH(B186,Товары!$A$2:$A$51,0)),""))</f>
        <v/>
      </c>
      <c r="E186" s="8">
        <f>IF(OR(B186="",D186=""),"",C186*D186)</f>
        <v/>
      </c>
      <c r="F186" s="8">
        <f>IF(B186="","",IFERROR(C186*INDEX(Товары!$J$2:$J$51,MATCH(B186,Товары!$A$2:$A$51,0)),""))</f>
        <v/>
      </c>
      <c r="G186" s="2">
        <f>IF(A186="","",YEAR(A186)&amp;"-"&amp;TEXT(MONTH(A186),"00"))</f>
        <v/>
      </c>
    </row>
    <row r="187">
      <c r="A187" s="2" t="n"/>
      <c r="B187" s="2" t="n"/>
      <c r="C187" s="2" t="n"/>
      <c r="D187" s="8">
        <f>IF(B187="","",IFERROR(INDEX(Товары!$F$2:$F$51,MATCH(B187,Товары!$A$2:$A$51,0)),""))</f>
        <v/>
      </c>
      <c r="E187" s="8">
        <f>IF(OR(B187="",D187=""),"",C187*D187)</f>
        <v/>
      </c>
      <c r="F187" s="8">
        <f>IF(B187="","",IFERROR(C187*INDEX(Товары!$J$2:$J$51,MATCH(B187,Товары!$A$2:$A$51,0)),""))</f>
        <v/>
      </c>
      <c r="G187" s="2">
        <f>IF(A187="","",YEAR(A187)&amp;"-"&amp;TEXT(MONTH(A187),"00"))</f>
        <v/>
      </c>
    </row>
    <row r="188">
      <c r="A188" s="2" t="n"/>
      <c r="B188" s="2" t="n"/>
      <c r="C188" s="2" t="n"/>
      <c r="D188" s="8">
        <f>IF(B188="","",IFERROR(INDEX(Товары!$F$2:$F$51,MATCH(B188,Товары!$A$2:$A$51,0)),""))</f>
        <v/>
      </c>
      <c r="E188" s="8">
        <f>IF(OR(B188="",D188=""),"",C188*D188)</f>
        <v/>
      </c>
      <c r="F188" s="8">
        <f>IF(B188="","",IFERROR(C188*INDEX(Товары!$J$2:$J$51,MATCH(B188,Товары!$A$2:$A$51,0)),""))</f>
        <v/>
      </c>
      <c r="G188" s="2">
        <f>IF(A188="","",YEAR(A188)&amp;"-"&amp;TEXT(MONTH(A188),"00"))</f>
        <v/>
      </c>
    </row>
    <row r="189">
      <c r="A189" s="2" t="n"/>
      <c r="B189" s="2" t="n"/>
      <c r="C189" s="2" t="n"/>
      <c r="D189" s="8">
        <f>IF(B189="","",IFERROR(INDEX(Товары!$F$2:$F$51,MATCH(B189,Товары!$A$2:$A$51,0)),""))</f>
        <v/>
      </c>
      <c r="E189" s="8">
        <f>IF(OR(B189="",D189=""),"",C189*D189)</f>
        <v/>
      </c>
      <c r="F189" s="8">
        <f>IF(B189="","",IFERROR(C189*INDEX(Товары!$J$2:$J$51,MATCH(B189,Товары!$A$2:$A$51,0)),""))</f>
        <v/>
      </c>
      <c r="G189" s="2">
        <f>IF(A189="","",YEAR(A189)&amp;"-"&amp;TEXT(MONTH(A189),"00"))</f>
        <v/>
      </c>
    </row>
    <row r="190">
      <c r="A190" s="2" t="n"/>
      <c r="B190" s="2" t="n"/>
      <c r="C190" s="2" t="n"/>
      <c r="D190" s="8">
        <f>IF(B190="","",IFERROR(INDEX(Товары!$F$2:$F$51,MATCH(B190,Товары!$A$2:$A$51,0)),""))</f>
        <v/>
      </c>
      <c r="E190" s="8">
        <f>IF(OR(B190="",D190=""),"",C190*D190)</f>
        <v/>
      </c>
      <c r="F190" s="8">
        <f>IF(B190="","",IFERROR(C190*INDEX(Товары!$J$2:$J$51,MATCH(B190,Товары!$A$2:$A$51,0)),""))</f>
        <v/>
      </c>
      <c r="G190" s="2">
        <f>IF(A190="","",YEAR(A190)&amp;"-"&amp;TEXT(MONTH(A190),"00"))</f>
        <v/>
      </c>
    </row>
    <row r="191">
      <c r="A191" s="2" t="n"/>
      <c r="B191" s="2" t="n"/>
      <c r="C191" s="2" t="n"/>
      <c r="D191" s="8">
        <f>IF(B191="","",IFERROR(INDEX(Товары!$F$2:$F$51,MATCH(B191,Товары!$A$2:$A$51,0)),""))</f>
        <v/>
      </c>
      <c r="E191" s="8">
        <f>IF(OR(B191="",D191=""),"",C191*D191)</f>
        <v/>
      </c>
      <c r="F191" s="8">
        <f>IF(B191="","",IFERROR(C191*INDEX(Товары!$J$2:$J$51,MATCH(B191,Товары!$A$2:$A$51,0)),""))</f>
        <v/>
      </c>
      <c r="G191" s="2">
        <f>IF(A191="","",YEAR(A191)&amp;"-"&amp;TEXT(MONTH(A191),"00"))</f>
        <v/>
      </c>
    </row>
    <row r="192">
      <c r="A192" s="2" t="n"/>
      <c r="B192" s="2" t="n"/>
      <c r="C192" s="2" t="n"/>
      <c r="D192" s="8">
        <f>IF(B192="","",IFERROR(INDEX(Товары!$F$2:$F$51,MATCH(B192,Товары!$A$2:$A$51,0)),""))</f>
        <v/>
      </c>
      <c r="E192" s="8">
        <f>IF(OR(B192="",D192=""),"",C192*D192)</f>
        <v/>
      </c>
      <c r="F192" s="8">
        <f>IF(B192="","",IFERROR(C192*INDEX(Товары!$J$2:$J$51,MATCH(B192,Товары!$A$2:$A$51,0)),""))</f>
        <v/>
      </c>
      <c r="G192" s="2">
        <f>IF(A192="","",YEAR(A192)&amp;"-"&amp;TEXT(MONTH(A192),"00"))</f>
        <v/>
      </c>
    </row>
    <row r="193">
      <c r="A193" s="2" t="n"/>
      <c r="B193" s="2" t="n"/>
      <c r="C193" s="2" t="n"/>
      <c r="D193" s="8">
        <f>IF(B193="","",IFERROR(INDEX(Товары!$F$2:$F$51,MATCH(B193,Товары!$A$2:$A$51,0)),""))</f>
        <v/>
      </c>
      <c r="E193" s="8">
        <f>IF(OR(B193="",D193=""),"",C193*D193)</f>
        <v/>
      </c>
      <c r="F193" s="8">
        <f>IF(B193="","",IFERROR(C193*INDEX(Товары!$J$2:$J$51,MATCH(B193,Товары!$A$2:$A$51,0)),""))</f>
        <v/>
      </c>
      <c r="G193" s="2">
        <f>IF(A193="","",YEAR(A193)&amp;"-"&amp;TEXT(MONTH(A193),"00"))</f>
        <v/>
      </c>
    </row>
    <row r="194">
      <c r="A194" s="2" t="n"/>
      <c r="B194" s="2" t="n"/>
      <c r="C194" s="2" t="n"/>
      <c r="D194" s="8">
        <f>IF(B194="","",IFERROR(INDEX(Товары!$F$2:$F$51,MATCH(B194,Товары!$A$2:$A$51,0)),""))</f>
        <v/>
      </c>
      <c r="E194" s="8">
        <f>IF(OR(B194="",D194=""),"",C194*D194)</f>
        <v/>
      </c>
      <c r="F194" s="8">
        <f>IF(B194="","",IFERROR(C194*INDEX(Товары!$J$2:$J$51,MATCH(B194,Товары!$A$2:$A$51,0)),""))</f>
        <v/>
      </c>
      <c r="G194" s="2">
        <f>IF(A194="","",YEAR(A194)&amp;"-"&amp;TEXT(MONTH(A194),"00"))</f>
        <v/>
      </c>
    </row>
    <row r="195">
      <c r="A195" s="2" t="n"/>
      <c r="B195" s="2" t="n"/>
      <c r="C195" s="2" t="n"/>
      <c r="D195" s="8">
        <f>IF(B195="","",IFERROR(INDEX(Товары!$F$2:$F$51,MATCH(B195,Товары!$A$2:$A$51,0)),""))</f>
        <v/>
      </c>
      <c r="E195" s="8">
        <f>IF(OR(B195="",D195=""),"",C195*D195)</f>
        <v/>
      </c>
      <c r="F195" s="8">
        <f>IF(B195="","",IFERROR(C195*INDEX(Товары!$J$2:$J$51,MATCH(B195,Товары!$A$2:$A$51,0)),""))</f>
        <v/>
      </c>
      <c r="G195" s="2">
        <f>IF(A195="","",YEAR(A195)&amp;"-"&amp;TEXT(MONTH(A195),"00"))</f>
        <v/>
      </c>
    </row>
    <row r="196">
      <c r="A196" s="2" t="n"/>
      <c r="B196" s="2" t="n"/>
      <c r="C196" s="2" t="n"/>
      <c r="D196" s="8">
        <f>IF(B196="","",IFERROR(INDEX(Товары!$F$2:$F$51,MATCH(B196,Товары!$A$2:$A$51,0)),""))</f>
        <v/>
      </c>
      <c r="E196" s="8">
        <f>IF(OR(B196="",D196=""),"",C196*D196)</f>
        <v/>
      </c>
      <c r="F196" s="8">
        <f>IF(B196="","",IFERROR(C196*INDEX(Товары!$J$2:$J$51,MATCH(B196,Товары!$A$2:$A$51,0)),""))</f>
        <v/>
      </c>
      <c r="G196" s="2">
        <f>IF(A196="","",YEAR(A196)&amp;"-"&amp;TEXT(MONTH(A196),"00"))</f>
        <v/>
      </c>
    </row>
    <row r="197">
      <c r="A197" s="2" t="n"/>
      <c r="B197" s="2" t="n"/>
      <c r="C197" s="2" t="n"/>
      <c r="D197" s="8">
        <f>IF(B197="","",IFERROR(INDEX(Товары!$F$2:$F$51,MATCH(B197,Товары!$A$2:$A$51,0)),""))</f>
        <v/>
      </c>
      <c r="E197" s="8">
        <f>IF(OR(B197="",D197=""),"",C197*D197)</f>
        <v/>
      </c>
      <c r="F197" s="8">
        <f>IF(B197="","",IFERROR(C197*INDEX(Товары!$J$2:$J$51,MATCH(B197,Товары!$A$2:$A$51,0)),""))</f>
        <v/>
      </c>
      <c r="G197" s="2">
        <f>IF(A197="","",YEAR(A197)&amp;"-"&amp;TEXT(MONTH(A197),"00"))</f>
        <v/>
      </c>
    </row>
    <row r="198">
      <c r="A198" s="2" t="n"/>
      <c r="B198" s="2" t="n"/>
      <c r="C198" s="2" t="n"/>
      <c r="D198" s="8">
        <f>IF(B198="","",IFERROR(INDEX(Товары!$F$2:$F$51,MATCH(B198,Товары!$A$2:$A$51,0)),""))</f>
        <v/>
      </c>
      <c r="E198" s="8">
        <f>IF(OR(B198="",D198=""),"",C198*D198)</f>
        <v/>
      </c>
      <c r="F198" s="8">
        <f>IF(B198="","",IFERROR(C198*INDEX(Товары!$J$2:$J$51,MATCH(B198,Товары!$A$2:$A$51,0)),""))</f>
        <v/>
      </c>
      <c r="G198" s="2">
        <f>IF(A198="","",YEAR(A198)&amp;"-"&amp;TEXT(MONTH(A198),"00"))</f>
        <v/>
      </c>
    </row>
    <row r="199">
      <c r="A199" s="2" t="n"/>
      <c r="B199" s="2" t="n"/>
      <c r="C199" s="2" t="n"/>
      <c r="D199" s="8">
        <f>IF(B199="","",IFERROR(INDEX(Товары!$F$2:$F$51,MATCH(B199,Товары!$A$2:$A$51,0)),""))</f>
        <v/>
      </c>
      <c r="E199" s="8">
        <f>IF(OR(B199="",D199=""),"",C199*D199)</f>
        <v/>
      </c>
      <c r="F199" s="8">
        <f>IF(B199="","",IFERROR(C199*INDEX(Товары!$J$2:$J$51,MATCH(B199,Товары!$A$2:$A$51,0)),""))</f>
        <v/>
      </c>
      <c r="G199" s="2">
        <f>IF(A199="","",YEAR(A199)&amp;"-"&amp;TEXT(MONTH(A199),"00"))</f>
        <v/>
      </c>
    </row>
    <row r="200">
      <c r="A200" s="2" t="n"/>
      <c r="B200" s="2" t="n"/>
      <c r="C200" s="2" t="n"/>
      <c r="D200" s="8">
        <f>IF(B200="","",IFERROR(INDEX(Товары!$F$2:$F$51,MATCH(B200,Товары!$A$2:$A$51,0)),""))</f>
        <v/>
      </c>
      <c r="E200" s="8">
        <f>IF(OR(B200="",D200=""),"",C200*D200)</f>
        <v/>
      </c>
      <c r="F200" s="8">
        <f>IF(B200="","",IFERROR(C200*INDEX(Товары!$J$2:$J$51,MATCH(B200,Товары!$A$2:$A$51,0)),""))</f>
        <v/>
      </c>
      <c r="G200" s="2">
        <f>IF(A200="","",YEAR(A200)&amp;"-"&amp;TEXT(MONTH(A200),"00"))</f>
        <v/>
      </c>
    </row>
    <row r="201">
      <c r="A201" s="2" t="n"/>
      <c r="B201" s="2" t="n"/>
      <c r="C201" s="2" t="n"/>
      <c r="D201" s="8">
        <f>IF(B201="","",IFERROR(INDEX(Товары!$F$2:$F$51,MATCH(B201,Товары!$A$2:$A$51,0)),""))</f>
        <v/>
      </c>
      <c r="E201" s="8">
        <f>IF(OR(B201="",D201=""),"",C201*D201)</f>
        <v/>
      </c>
      <c r="F201" s="8">
        <f>IF(B201="","",IFERROR(C201*INDEX(Товары!$J$2:$J$51,MATCH(B201,Товары!$A$2:$A$51,0)),""))</f>
        <v/>
      </c>
      <c r="G201" s="2">
        <f>IF(A201="","",YEAR(A201)&amp;"-"&amp;TEXT(MONTH(A201),"00"))</f>
        <v/>
      </c>
    </row>
    <row r="202">
      <c r="A202" s="2" t="n"/>
      <c r="B202" s="2" t="n"/>
      <c r="C202" s="2" t="n"/>
      <c r="D202" s="8">
        <f>IF(B202="","",IFERROR(INDEX(Товары!$F$2:$F$51,MATCH(B202,Товары!$A$2:$A$51,0)),""))</f>
        <v/>
      </c>
      <c r="E202" s="8">
        <f>IF(OR(B202="",D202=""),"",C202*D202)</f>
        <v/>
      </c>
      <c r="F202" s="8">
        <f>IF(B202="","",IFERROR(C202*INDEX(Товары!$J$2:$J$51,MATCH(B202,Товары!$A$2:$A$51,0)),""))</f>
        <v/>
      </c>
      <c r="G202" s="2">
        <f>IF(A202="","",YEAR(A202)&amp;"-"&amp;TEXT(MONTH(A202),"00"))</f>
        <v/>
      </c>
    </row>
    <row r="203">
      <c r="A203" s="2" t="n"/>
      <c r="B203" s="2" t="n"/>
      <c r="C203" s="2" t="n"/>
      <c r="D203" s="8">
        <f>IF(B203="","",IFERROR(INDEX(Товары!$F$2:$F$51,MATCH(B203,Товары!$A$2:$A$51,0)),""))</f>
        <v/>
      </c>
      <c r="E203" s="8">
        <f>IF(OR(B203="",D203=""),"",C203*D203)</f>
        <v/>
      </c>
      <c r="F203" s="8">
        <f>IF(B203="","",IFERROR(C203*INDEX(Товары!$J$2:$J$51,MATCH(B203,Товары!$A$2:$A$51,0)),""))</f>
        <v/>
      </c>
      <c r="G203" s="2">
        <f>IF(A203="","",YEAR(A203)&amp;"-"&amp;TEXT(MONTH(A203),"00"))</f>
        <v/>
      </c>
    </row>
    <row r="204">
      <c r="A204" s="2" t="n"/>
      <c r="B204" s="2" t="n"/>
      <c r="C204" s="2" t="n"/>
      <c r="D204" s="8">
        <f>IF(B204="","",IFERROR(INDEX(Товары!$F$2:$F$51,MATCH(B204,Товары!$A$2:$A$51,0)),""))</f>
        <v/>
      </c>
      <c r="E204" s="8">
        <f>IF(OR(B204="",D204=""),"",C204*D204)</f>
        <v/>
      </c>
      <c r="F204" s="8">
        <f>IF(B204="","",IFERROR(C204*INDEX(Товары!$J$2:$J$51,MATCH(B204,Товары!$A$2:$A$51,0)),""))</f>
        <v/>
      </c>
      <c r="G204" s="2">
        <f>IF(A204="","",YEAR(A204)&amp;"-"&amp;TEXT(MONTH(A204),"00"))</f>
        <v/>
      </c>
    </row>
    <row r="205">
      <c r="A205" s="2" t="n"/>
      <c r="B205" s="2" t="n"/>
      <c r="C205" s="2" t="n"/>
      <c r="D205" s="8">
        <f>IF(B205="","",IFERROR(INDEX(Товары!$F$2:$F$51,MATCH(B205,Товары!$A$2:$A$51,0)),""))</f>
        <v/>
      </c>
      <c r="E205" s="8">
        <f>IF(OR(B205="",D205=""),"",C205*D205)</f>
        <v/>
      </c>
      <c r="F205" s="8">
        <f>IF(B205="","",IFERROR(C205*INDEX(Товары!$J$2:$J$51,MATCH(B205,Товары!$A$2:$A$51,0)),""))</f>
        <v/>
      </c>
      <c r="G205" s="2">
        <f>IF(A205="","",YEAR(A205)&amp;"-"&amp;TEXT(MONTH(A205),"00"))</f>
        <v/>
      </c>
    </row>
    <row r="206">
      <c r="A206" s="2" t="n"/>
      <c r="B206" s="2" t="n"/>
      <c r="C206" s="2" t="n"/>
      <c r="D206" s="8">
        <f>IF(B206="","",IFERROR(INDEX(Товары!$F$2:$F$51,MATCH(B206,Товары!$A$2:$A$51,0)),""))</f>
        <v/>
      </c>
      <c r="E206" s="8">
        <f>IF(OR(B206="",D206=""),"",C206*D206)</f>
        <v/>
      </c>
      <c r="F206" s="8">
        <f>IF(B206="","",IFERROR(C206*INDEX(Товары!$J$2:$J$51,MATCH(B206,Товары!$A$2:$A$51,0)),""))</f>
        <v/>
      </c>
      <c r="G206" s="2">
        <f>IF(A206="","",YEAR(A206)&amp;"-"&amp;TEXT(MONTH(A206),"00"))</f>
        <v/>
      </c>
    </row>
    <row r="207">
      <c r="A207" s="2" t="n"/>
      <c r="B207" s="2" t="n"/>
      <c r="C207" s="2" t="n"/>
      <c r="D207" s="8">
        <f>IF(B207="","",IFERROR(INDEX(Товары!$F$2:$F$51,MATCH(B207,Товары!$A$2:$A$51,0)),""))</f>
        <v/>
      </c>
      <c r="E207" s="8">
        <f>IF(OR(B207="",D207=""),"",C207*D207)</f>
        <v/>
      </c>
      <c r="F207" s="8">
        <f>IF(B207="","",IFERROR(C207*INDEX(Товары!$J$2:$J$51,MATCH(B207,Товары!$A$2:$A$51,0)),""))</f>
        <v/>
      </c>
      <c r="G207" s="2">
        <f>IF(A207="","",YEAR(A207)&amp;"-"&amp;TEXT(MONTH(A207),"00"))</f>
        <v/>
      </c>
    </row>
    <row r="208">
      <c r="A208" s="2" t="n"/>
      <c r="B208" s="2" t="n"/>
      <c r="C208" s="2" t="n"/>
      <c r="D208" s="8">
        <f>IF(B208="","",IFERROR(INDEX(Товары!$F$2:$F$51,MATCH(B208,Товары!$A$2:$A$51,0)),""))</f>
        <v/>
      </c>
      <c r="E208" s="8">
        <f>IF(OR(B208="",D208=""),"",C208*D208)</f>
        <v/>
      </c>
      <c r="F208" s="8">
        <f>IF(B208="","",IFERROR(C208*INDEX(Товары!$J$2:$J$51,MATCH(B208,Товары!$A$2:$A$51,0)),""))</f>
        <v/>
      </c>
      <c r="G208" s="2">
        <f>IF(A208="","",YEAR(A208)&amp;"-"&amp;TEXT(MONTH(A208),"00"))</f>
        <v/>
      </c>
    </row>
    <row r="209">
      <c r="A209" s="2" t="n"/>
      <c r="B209" s="2" t="n"/>
      <c r="C209" s="2" t="n"/>
      <c r="D209" s="8">
        <f>IF(B209="","",IFERROR(INDEX(Товары!$F$2:$F$51,MATCH(B209,Товары!$A$2:$A$51,0)),""))</f>
        <v/>
      </c>
      <c r="E209" s="8">
        <f>IF(OR(B209="",D209=""),"",C209*D209)</f>
        <v/>
      </c>
      <c r="F209" s="8">
        <f>IF(B209="","",IFERROR(C209*INDEX(Товары!$J$2:$J$51,MATCH(B209,Товары!$A$2:$A$51,0)),""))</f>
        <v/>
      </c>
      <c r="G209" s="2">
        <f>IF(A209="","",YEAR(A209)&amp;"-"&amp;TEXT(MONTH(A209),"00"))</f>
        <v/>
      </c>
    </row>
    <row r="210">
      <c r="A210" s="2" t="n"/>
      <c r="B210" s="2" t="n"/>
      <c r="C210" s="2" t="n"/>
      <c r="D210" s="8">
        <f>IF(B210="","",IFERROR(INDEX(Товары!$F$2:$F$51,MATCH(B210,Товары!$A$2:$A$51,0)),""))</f>
        <v/>
      </c>
      <c r="E210" s="8">
        <f>IF(OR(B210="",D210=""),"",C210*D210)</f>
        <v/>
      </c>
      <c r="F210" s="8">
        <f>IF(B210="","",IFERROR(C210*INDEX(Товары!$J$2:$J$51,MATCH(B210,Товары!$A$2:$A$51,0)),""))</f>
        <v/>
      </c>
      <c r="G210" s="2">
        <f>IF(A210="","",YEAR(A210)&amp;"-"&amp;TEXT(MONTH(A210),"00"))</f>
        <v/>
      </c>
    </row>
    <row r="211">
      <c r="A211" s="2" t="n"/>
      <c r="B211" s="2" t="n"/>
      <c r="C211" s="2" t="n"/>
      <c r="D211" s="8">
        <f>IF(B211="","",IFERROR(INDEX(Товары!$F$2:$F$51,MATCH(B211,Товары!$A$2:$A$51,0)),""))</f>
        <v/>
      </c>
      <c r="E211" s="8">
        <f>IF(OR(B211="",D211=""),"",C211*D211)</f>
        <v/>
      </c>
      <c r="F211" s="8">
        <f>IF(B211="","",IFERROR(C211*INDEX(Товары!$J$2:$J$51,MATCH(B211,Товары!$A$2:$A$51,0)),""))</f>
        <v/>
      </c>
      <c r="G211" s="2">
        <f>IF(A211="","",YEAR(A211)&amp;"-"&amp;TEXT(MONTH(A211),"00"))</f>
        <v/>
      </c>
    </row>
    <row r="212">
      <c r="A212" s="2" t="n"/>
      <c r="B212" s="2" t="n"/>
      <c r="C212" s="2" t="n"/>
      <c r="D212" s="8">
        <f>IF(B212="","",IFERROR(INDEX(Товары!$F$2:$F$51,MATCH(B212,Товары!$A$2:$A$51,0)),""))</f>
        <v/>
      </c>
      <c r="E212" s="8">
        <f>IF(OR(B212="",D212=""),"",C212*D212)</f>
        <v/>
      </c>
      <c r="F212" s="8">
        <f>IF(B212="","",IFERROR(C212*INDEX(Товары!$J$2:$J$51,MATCH(B212,Товары!$A$2:$A$51,0)),""))</f>
        <v/>
      </c>
      <c r="G212" s="2">
        <f>IF(A212="","",YEAR(A212)&amp;"-"&amp;TEXT(MONTH(A212),"00"))</f>
        <v/>
      </c>
    </row>
    <row r="213">
      <c r="A213" s="2" t="n"/>
      <c r="B213" s="2" t="n"/>
      <c r="C213" s="2" t="n"/>
      <c r="D213" s="8">
        <f>IF(B213="","",IFERROR(INDEX(Товары!$F$2:$F$51,MATCH(B213,Товары!$A$2:$A$51,0)),""))</f>
        <v/>
      </c>
      <c r="E213" s="8">
        <f>IF(OR(B213="",D213=""),"",C213*D213)</f>
        <v/>
      </c>
      <c r="F213" s="8">
        <f>IF(B213="","",IFERROR(C213*INDEX(Товары!$J$2:$J$51,MATCH(B213,Товары!$A$2:$A$51,0)),""))</f>
        <v/>
      </c>
      <c r="G213" s="2">
        <f>IF(A213="","",YEAR(A213)&amp;"-"&amp;TEXT(MONTH(A213),"00"))</f>
        <v/>
      </c>
    </row>
    <row r="214">
      <c r="A214" s="2" t="n"/>
      <c r="B214" s="2" t="n"/>
      <c r="C214" s="2" t="n"/>
      <c r="D214" s="8">
        <f>IF(B214="","",IFERROR(INDEX(Товары!$F$2:$F$51,MATCH(B214,Товары!$A$2:$A$51,0)),""))</f>
        <v/>
      </c>
      <c r="E214" s="8">
        <f>IF(OR(B214="",D214=""),"",C214*D214)</f>
        <v/>
      </c>
      <c r="F214" s="8">
        <f>IF(B214="","",IFERROR(C214*INDEX(Товары!$J$2:$J$51,MATCH(B214,Товары!$A$2:$A$51,0)),""))</f>
        <v/>
      </c>
      <c r="G214" s="2">
        <f>IF(A214="","",YEAR(A214)&amp;"-"&amp;TEXT(MONTH(A214),"00"))</f>
        <v/>
      </c>
    </row>
    <row r="215">
      <c r="A215" s="2" t="n"/>
      <c r="B215" s="2" t="n"/>
      <c r="C215" s="2" t="n"/>
      <c r="D215" s="8">
        <f>IF(B215="","",IFERROR(INDEX(Товары!$F$2:$F$51,MATCH(B215,Товары!$A$2:$A$51,0)),""))</f>
        <v/>
      </c>
      <c r="E215" s="8">
        <f>IF(OR(B215="",D215=""),"",C215*D215)</f>
        <v/>
      </c>
      <c r="F215" s="8">
        <f>IF(B215="","",IFERROR(C215*INDEX(Товары!$J$2:$J$51,MATCH(B215,Товары!$A$2:$A$51,0)),""))</f>
        <v/>
      </c>
      <c r="G215" s="2">
        <f>IF(A215="","",YEAR(A215)&amp;"-"&amp;TEXT(MONTH(A215),"00"))</f>
        <v/>
      </c>
    </row>
    <row r="216">
      <c r="A216" s="2" t="n"/>
      <c r="B216" s="2" t="n"/>
      <c r="C216" s="2" t="n"/>
      <c r="D216" s="8">
        <f>IF(B216="","",IFERROR(INDEX(Товары!$F$2:$F$51,MATCH(B216,Товары!$A$2:$A$51,0)),""))</f>
        <v/>
      </c>
      <c r="E216" s="8">
        <f>IF(OR(B216="",D216=""),"",C216*D216)</f>
        <v/>
      </c>
      <c r="F216" s="8">
        <f>IF(B216="","",IFERROR(C216*INDEX(Товары!$J$2:$J$51,MATCH(B216,Товары!$A$2:$A$51,0)),""))</f>
        <v/>
      </c>
      <c r="G216" s="2">
        <f>IF(A216="","",YEAR(A216)&amp;"-"&amp;TEXT(MONTH(A216),"00"))</f>
        <v/>
      </c>
    </row>
    <row r="217">
      <c r="A217" s="2" t="n"/>
      <c r="B217" s="2" t="n"/>
      <c r="C217" s="2" t="n"/>
      <c r="D217" s="8">
        <f>IF(B217="","",IFERROR(INDEX(Товары!$F$2:$F$51,MATCH(B217,Товары!$A$2:$A$51,0)),""))</f>
        <v/>
      </c>
      <c r="E217" s="8">
        <f>IF(OR(B217="",D217=""),"",C217*D217)</f>
        <v/>
      </c>
      <c r="F217" s="8">
        <f>IF(B217="","",IFERROR(C217*INDEX(Товары!$J$2:$J$51,MATCH(B217,Товары!$A$2:$A$51,0)),""))</f>
        <v/>
      </c>
      <c r="G217" s="2">
        <f>IF(A217="","",YEAR(A217)&amp;"-"&amp;TEXT(MONTH(A217),"00"))</f>
        <v/>
      </c>
    </row>
    <row r="218">
      <c r="A218" s="2" t="n"/>
      <c r="B218" s="2" t="n"/>
      <c r="C218" s="2" t="n"/>
      <c r="D218" s="8">
        <f>IF(B218="","",IFERROR(INDEX(Товары!$F$2:$F$51,MATCH(B218,Товары!$A$2:$A$51,0)),""))</f>
        <v/>
      </c>
      <c r="E218" s="8">
        <f>IF(OR(B218="",D218=""),"",C218*D218)</f>
        <v/>
      </c>
      <c r="F218" s="8">
        <f>IF(B218="","",IFERROR(C218*INDEX(Товары!$J$2:$J$51,MATCH(B218,Товары!$A$2:$A$51,0)),""))</f>
        <v/>
      </c>
      <c r="G218" s="2">
        <f>IF(A218="","",YEAR(A218)&amp;"-"&amp;TEXT(MONTH(A218),"00"))</f>
        <v/>
      </c>
    </row>
    <row r="219">
      <c r="A219" s="2" t="n"/>
      <c r="B219" s="2" t="n"/>
      <c r="C219" s="2" t="n"/>
      <c r="D219" s="8">
        <f>IF(B219="","",IFERROR(INDEX(Товары!$F$2:$F$51,MATCH(B219,Товары!$A$2:$A$51,0)),""))</f>
        <v/>
      </c>
      <c r="E219" s="8">
        <f>IF(OR(B219="",D219=""),"",C219*D219)</f>
        <v/>
      </c>
      <c r="F219" s="8">
        <f>IF(B219="","",IFERROR(C219*INDEX(Товары!$J$2:$J$51,MATCH(B219,Товары!$A$2:$A$51,0)),""))</f>
        <v/>
      </c>
      <c r="G219" s="2">
        <f>IF(A219="","",YEAR(A219)&amp;"-"&amp;TEXT(MONTH(A219),"00"))</f>
        <v/>
      </c>
    </row>
    <row r="220">
      <c r="A220" s="2" t="n"/>
      <c r="B220" s="2" t="n"/>
      <c r="C220" s="2" t="n"/>
      <c r="D220" s="8">
        <f>IF(B220="","",IFERROR(INDEX(Товары!$F$2:$F$51,MATCH(B220,Товары!$A$2:$A$51,0)),""))</f>
        <v/>
      </c>
      <c r="E220" s="8">
        <f>IF(OR(B220="",D220=""),"",C220*D220)</f>
        <v/>
      </c>
      <c r="F220" s="8">
        <f>IF(B220="","",IFERROR(C220*INDEX(Товары!$J$2:$J$51,MATCH(B220,Товары!$A$2:$A$51,0)),""))</f>
        <v/>
      </c>
      <c r="G220" s="2">
        <f>IF(A220="","",YEAR(A220)&amp;"-"&amp;TEXT(MONTH(A220),"00"))</f>
        <v/>
      </c>
    </row>
    <row r="221">
      <c r="A221" s="2" t="n"/>
      <c r="B221" s="2" t="n"/>
      <c r="C221" s="2" t="n"/>
      <c r="D221" s="8">
        <f>IF(B221="","",IFERROR(INDEX(Товары!$F$2:$F$51,MATCH(B221,Товары!$A$2:$A$51,0)),""))</f>
        <v/>
      </c>
      <c r="E221" s="8">
        <f>IF(OR(B221="",D221=""),"",C221*D221)</f>
        <v/>
      </c>
      <c r="F221" s="8">
        <f>IF(B221="","",IFERROR(C221*INDEX(Товары!$J$2:$J$51,MATCH(B221,Товары!$A$2:$A$51,0)),""))</f>
        <v/>
      </c>
      <c r="G221" s="2">
        <f>IF(A221="","",YEAR(A221)&amp;"-"&amp;TEXT(MONTH(A221),"00"))</f>
        <v/>
      </c>
    </row>
    <row r="222">
      <c r="A222" s="2" t="n"/>
      <c r="B222" s="2" t="n"/>
      <c r="C222" s="2" t="n"/>
      <c r="D222" s="8">
        <f>IF(B222="","",IFERROR(INDEX(Товары!$F$2:$F$51,MATCH(B222,Товары!$A$2:$A$51,0)),""))</f>
        <v/>
      </c>
      <c r="E222" s="8">
        <f>IF(OR(B222="",D222=""),"",C222*D222)</f>
        <v/>
      </c>
      <c r="F222" s="8">
        <f>IF(B222="","",IFERROR(C222*INDEX(Товары!$J$2:$J$51,MATCH(B222,Товары!$A$2:$A$51,0)),""))</f>
        <v/>
      </c>
      <c r="G222" s="2">
        <f>IF(A222="","",YEAR(A222)&amp;"-"&amp;TEXT(MONTH(A222),"00"))</f>
        <v/>
      </c>
    </row>
    <row r="223">
      <c r="A223" s="2" t="n"/>
      <c r="B223" s="2" t="n"/>
      <c r="C223" s="2" t="n"/>
      <c r="D223" s="8">
        <f>IF(B223="","",IFERROR(INDEX(Товары!$F$2:$F$51,MATCH(B223,Товары!$A$2:$A$51,0)),""))</f>
        <v/>
      </c>
      <c r="E223" s="8">
        <f>IF(OR(B223="",D223=""),"",C223*D223)</f>
        <v/>
      </c>
      <c r="F223" s="8">
        <f>IF(B223="","",IFERROR(C223*INDEX(Товары!$J$2:$J$51,MATCH(B223,Товары!$A$2:$A$51,0)),""))</f>
        <v/>
      </c>
      <c r="G223" s="2">
        <f>IF(A223="","",YEAR(A223)&amp;"-"&amp;TEXT(MONTH(A223),"00"))</f>
        <v/>
      </c>
    </row>
    <row r="224">
      <c r="A224" s="2" t="n"/>
      <c r="B224" s="2" t="n"/>
      <c r="C224" s="2" t="n"/>
      <c r="D224" s="8">
        <f>IF(B224="","",IFERROR(INDEX(Товары!$F$2:$F$51,MATCH(B224,Товары!$A$2:$A$51,0)),""))</f>
        <v/>
      </c>
      <c r="E224" s="8">
        <f>IF(OR(B224="",D224=""),"",C224*D224)</f>
        <v/>
      </c>
      <c r="F224" s="8">
        <f>IF(B224="","",IFERROR(C224*INDEX(Товары!$J$2:$J$51,MATCH(B224,Товары!$A$2:$A$51,0)),""))</f>
        <v/>
      </c>
      <c r="G224" s="2">
        <f>IF(A224="","",YEAR(A224)&amp;"-"&amp;TEXT(MONTH(A224),"00"))</f>
        <v/>
      </c>
    </row>
    <row r="225">
      <c r="A225" s="2" t="n"/>
      <c r="B225" s="2" t="n"/>
      <c r="C225" s="2" t="n"/>
      <c r="D225" s="8">
        <f>IF(B225="","",IFERROR(INDEX(Товары!$F$2:$F$51,MATCH(B225,Товары!$A$2:$A$51,0)),""))</f>
        <v/>
      </c>
      <c r="E225" s="8">
        <f>IF(OR(B225="",D225=""),"",C225*D225)</f>
        <v/>
      </c>
      <c r="F225" s="8">
        <f>IF(B225="","",IFERROR(C225*INDEX(Товары!$J$2:$J$51,MATCH(B225,Товары!$A$2:$A$51,0)),""))</f>
        <v/>
      </c>
      <c r="G225" s="2">
        <f>IF(A225="","",YEAR(A225)&amp;"-"&amp;TEXT(MONTH(A225),"00"))</f>
        <v/>
      </c>
    </row>
    <row r="226">
      <c r="A226" s="2" t="n"/>
      <c r="B226" s="2" t="n"/>
      <c r="C226" s="2" t="n"/>
      <c r="D226" s="8">
        <f>IF(B226="","",IFERROR(INDEX(Товары!$F$2:$F$51,MATCH(B226,Товары!$A$2:$A$51,0)),""))</f>
        <v/>
      </c>
      <c r="E226" s="8">
        <f>IF(OR(B226="",D226=""),"",C226*D226)</f>
        <v/>
      </c>
      <c r="F226" s="8">
        <f>IF(B226="","",IFERROR(C226*INDEX(Товары!$J$2:$J$51,MATCH(B226,Товары!$A$2:$A$51,0)),""))</f>
        <v/>
      </c>
      <c r="G226" s="2">
        <f>IF(A226="","",YEAR(A226)&amp;"-"&amp;TEXT(MONTH(A226),"00"))</f>
        <v/>
      </c>
    </row>
    <row r="227">
      <c r="A227" s="2" t="n"/>
      <c r="B227" s="2" t="n"/>
      <c r="C227" s="2" t="n"/>
      <c r="D227" s="8">
        <f>IF(B227="","",IFERROR(INDEX(Товары!$F$2:$F$51,MATCH(B227,Товары!$A$2:$A$51,0)),""))</f>
        <v/>
      </c>
      <c r="E227" s="8">
        <f>IF(OR(B227="",D227=""),"",C227*D227)</f>
        <v/>
      </c>
      <c r="F227" s="8">
        <f>IF(B227="","",IFERROR(C227*INDEX(Товары!$J$2:$J$51,MATCH(B227,Товары!$A$2:$A$51,0)),""))</f>
        <v/>
      </c>
      <c r="G227" s="2">
        <f>IF(A227="","",YEAR(A227)&amp;"-"&amp;TEXT(MONTH(A227),"00"))</f>
        <v/>
      </c>
    </row>
    <row r="228">
      <c r="A228" s="2" t="n"/>
      <c r="B228" s="2" t="n"/>
      <c r="C228" s="2" t="n"/>
      <c r="D228" s="8">
        <f>IF(B228="","",IFERROR(INDEX(Товары!$F$2:$F$51,MATCH(B228,Товары!$A$2:$A$51,0)),""))</f>
        <v/>
      </c>
      <c r="E228" s="8">
        <f>IF(OR(B228="",D228=""),"",C228*D228)</f>
        <v/>
      </c>
      <c r="F228" s="8">
        <f>IF(B228="","",IFERROR(C228*INDEX(Товары!$J$2:$J$51,MATCH(B228,Товары!$A$2:$A$51,0)),""))</f>
        <v/>
      </c>
      <c r="G228" s="2">
        <f>IF(A228="","",YEAR(A228)&amp;"-"&amp;TEXT(MONTH(A228),"00"))</f>
        <v/>
      </c>
    </row>
    <row r="229">
      <c r="A229" s="2" t="n"/>
      <c r="B229" s="2" t="n"/>
      <c r="C229" s="2" t="n"/>
      <c r="D229" s="8">
        <f>IF(B229="","",IFERROR(INDEX(Товары!$F$2:$F$51,MATCH(B229,Товары!$A$2:$A$51,0)),""))</f>
        <v/>
      </c>
      <c r="E229" s="8">
        <f>IF(OR(B229="",D229=""),"",C229*D229)</f>
        <v/>
      </c>
      <c r="F229" s="8">
        <f>IF(B229="","",IFERROR(C229*INDEX(Товары!$J$2:$J$51,MATCH(B229,Товары!$A$2:$A$51,0)),""))</f>
        <v/>
      </c>
      <c r="G229" s="2">
        <f>IF(A229="","",YEAR(A229)&amp;"-"&amp;TEXT(MONTH(A229),"00"))</f>
        <v/>
      </c>
    </row>
    <row r="230">
      <c r="A230" s="2" t="n"/>
      <c r="B230" s="2" t="n"/>
      <c r="C230" s="2" t="n"/>
      <c r="D230" s="8">
        <f>IF(B230="","",IFERROR(INDEX(Товары!$F$2:$F$51,MATCH(B230,Товары!$A$2:$A$51,0)),""))</f>
        <v/>
      </c>
      <c r="E230" s="8">
        <f>IF(OR(B230="",D230=""),"",C230*D230)</f>
        <v/>
      </c>
      <c r="F230" s="8">
        <f>IF(B230="","",IFERROR(C230*INDEX(Товары!$J$2:$J$51,MATCH(B230,Товары!$A$2:$A$51,0)),""))</f>
        <v/>
      </c>
      <c r="G230" s="2">
        <f>IF(A230="","",YEAR(A230)&amp;"-"&amp;TEXT(MONTH(A230),"00"))</f>
        <v/>
      </c>
    </row>
    <row r="231">
      <c r="A231" s="2" t="n"/>
      <c r="B231" s="2" t="n"/>
      <c r="C231" s="2" t="n"/>
      <c r="D231" s="8">
        <f>IF(B231="","",IFERROR(INDEX(Товары!$F$2:$F$51,MATCH(B231,Товары!$A$2:$A$51,0)),""))</f>
        <v/>
      </c>
      <c r="E231" s="8">
        <f>IF(OR(B231="",D231=""),"",C231*D231)</f>
        <v/>
      </c>
      <c r="F231" s="8">
        <f>IF(B231="","",IFERROR(C231*INDEX(Товары!$J$2:$J$51,MATCH(B231,Товары!$A$2:$A$51,0)),""))</f>
        <v/>
      </c>
      <c r="G231" s="2">
        <f>IF(A231="","",YEAR(A231)&amp;"-"&amp;TEXT(MONTH(A231),"00"))</f>
        <v/>
      </c>
    </row>
    <row r="232">
      <c r="A232" s="2" t="n"/>
      <c r="B232" s="2" t="n"/>
      <c r="C232" s="2" t="n"/>
      <c r="D232" s="8">
        <f>IF(B232="","",IFERROR(INDEX(Товары!$F$2:$F$51,MATCH(B232,Товары!$A$2:$A$51,0)),""))</f>
        <v/>
      </c>
      <c r="E232" s="8">
        <f>IF(OR(B232="",D232=""),"",C232*D232)</f>
        <v/>
      </c>
      <c r="F232" s="8">
        <f>IF(B232="","",IFERROR(C232*INDEX(Товары!$J$2:$J$51,MATCH(B232,Товары!$A$2:$A$51,0)),""))</f>
        <v/>
      </c>
      <c r="G232" s="2">
        <f>IF(A232="","",YEAR(A232)&amp;"-"&amp;TEXT(MONTH(A232),"00"))</f>
        <v/>
      </c>
    </row>
    <row r="233">
      <c r="A233" s="2" t="n"/>
      <c r="B233" s="2" t="n"/>
      <c r="C233" s="2" t="n"/>
      <c r="D233" s="8">
        <f>IF(B233="","",IFERROR(INDEX(Товары!$F$2:$F$51,MATCH(B233,Товары!$A$2:$A$51,0)),""))</f>
        <v/>
      </c>
      <c r="E233" s="8">
        <f>IF(OR(B233="",D233=""),"",C233*D233)</f>
        <v/>
      </c>
      <c r="F233" s="8">
        <f>IF(B233="","",IFERROR(C233*INDEX(Товары!$J$2:$J$51,MATCH(B233,Товары!$A$2:$A$51,0)),""))</f>
        <v/>
      </c>
      <c r="G233" s="2">
        <f>IF(A233="","",YEAR(A233)&amp;"-"&amp;TEXT(MONTH(A233),"00"))</f>
        <v/>
      </c>
    </row>
    <row r="234">
      <c r="A234" s="2" t="n"/>
      <c r="B234" s="2" t="n"/>
      <c r="C234" s="2" t="n"/>
      <c r="D234" s="8">
        <f>IF(B234="","",IFERROR(INDEX(Товары!$F$2:$F$51,MATCH(B234,Товары!$A$2:$A$51,0)),""))</f>
        <v/>
      </c>
      <c r="E234" s="8">
        <f>IF(OR(B234="",D234=""),"",C234*D234)</f>
        <v/>
      </c>
      <c r="F234" s="8">
        <f>IF(B234="","",IFERROR(C234*INDEX(Товары!$J$2:$J$51,MATCH(B234,Товары!$A$2:$A$51,0)),""))</f>
        <v/>
      </c>
      <c r="G234" s="2">
        <f>IF(A234="","",YEAR(A234)&amp;"-"&amp;TEXT(MONTH(A234),"00"))</f>
        <v/>
      </c>
    </row>
    <row r="235">
      <c r="A235" s="2" t="n"/>
      <c r="B235" s="2" t="n"/>
      <c r="C235" s="2" t="n"/>
      <c r="D235" s="8">
        <f>IF(B235="","",IFERROR(INDEX(Товары!$F$2:$F$51,MATCH(B235,Товары!$A$2:$A$51,0)),""))</f>
        <v/>
      </c>
      <c r="E235" s="8">
        <f>IF(OR(B235="",D235=""),"",C235*D235)</f>
        <v/>
      </c>
      <c r="F235" s="8">
        <f>IF(B235="","",IFERROR(C235*INDEX(Товары!$J$2:$J$51,MATCH(B235,Товары!$A$2:$A$51,0)),""))</f>
        <v/>
      </c>
      <c r="G235" s="2">
        <f>IF(A235="","",YEAR(A235)&amp;"-"&amp;TEXT(MONTH(A235),"00"))</f>
        <v/>
      </c>
    </row>
    <row r="236">
      <c r="A236" s="2" t="n"/>
      <c r="B236" s="2" t="n"/>
      <c r="C236" s="2" t="n"/>
      <c r="D236" s="8">
        <f>IF(B236="","",IFERROR(INDEX(Товары!$F$2:$F$51,MATCH(B236,Товары!$A$2:$A$51,0)),""))</f>
        <v/>
      </c>
      <c r="E236" s="8">
        <f>IF(OR(B236="",D236=""),"",C236*D236)</f>
        <v/>
      </c>
      <c r="F236" s="8">
        <f>IF(B236="","",IFERROR(C236*INDEX(Товары!$J$2:$J$51,MATCH(B236,Товары!$A$2:$A$51,0)),""))</f>
        <v/>
      </c>
      <c r="G236" s="2">
        <f>IF(A236="","",YEAR(A236)&amp;"-"&amp;TEXT(MONTH(A236),"00"))</f>
        <v/>
      </c>
    </row>
    <row r="237">
      <c r="A237" s="2" t="n"/>
      <c r="B237" s="2" t="n"/>
      <c r="C237" s="2" t="n"/>
      <c r="D237" s="8">
        <f>IF(B237="","",IFERROR(INDEX(Товары!$F$2:$F$51,MATCH(B237,Товары!$A$2:$A$51,0)),""))</f>
        <v/>
      </c>
      <c r="E237" s="8">
        <f>IF(OR(B237="",D237=""),"",C237*D237)</f>
        <v/>
      </c>
      <c r="F237" s="8">
        <f>IF(B237="","",IFERROR(C237*INDEX(Товары!$J$2:$J$51,MATCH(B237,Товары!$A$2:$A$51,0)),""))</f>
        <v/>
      </c>
      <c r="G237" s="2">
        <f>IF(A237="","",YEAR(A237)&amp;"-"&amp;TEXT(MONTH(A237),"00"))</f>
        <v/>
      </c>
    </row>
    <row r="238">
      <c r="A238" s="2" t="n"/>
      <c r="B238" s="2" t="n"/>
      <c r="C238" s="2" t="n"/>
      <c r="D238" s="8">
        <f>IF(B238="","",IFERROR(INDEX(Товары!$F$2:$F$51,MATCH(B238,Товары!$A$2:$A$51,0)),""))</f>
        <v/>
      </c>
      <c r="E238" s="8">
        <f>IF(OR(B238="",D238=""),"",C238*D238)</f>
        <v/>
      </c>
      <c r="F238" s="8">
        <f>IF(B238="","",IFERROR(C238*INDEX(Товары!$J$2:$J$51,MATCH(B238,Товары!$A$2:$A$51,0)),""))</f>
        <v/>
      </c>
      <c r="G238" s="2">
        <f>IF(A238="","",YEAR(A238)&amp;"-"&amp;TEXT(MONTH(A238),"00"))</f>
        <v/>
      </c>
    </row>
    <row r="239">
      <c r="A239" s="2" t="n"/>
      <c r="B239" s="2" t="n"/>
      <c r="C239" s="2" t="n"/>
      <c r="D239" s="8">
        <f>IF(B239="","",IFERROR(INDEX(Товары!$F$2:$F$51,MATCH(B239,Товары!$A$2:$A$51,0)),""))</f>
        <v/>
      </c>
      <c r="E239" s="8">
        <f>IF(OR(B239="",D239=""),"",C239*D239)</f>
        <v/>
      </c>
      <c r="F239" s="8">
        <f>IF(B239="","",IFERROR(C239*INDEX(Товары!$J$2:$J$51,MATCH(B239,Товары!$A$2:$A$51,0)),""))</f>
        <v/>
      </c>
      <c r="G239" s="2">
        <f>IF(A239="","",YEAR(A239)&amp;"-"&amp;TEXT(MONTH(A239),"00"))</f>
        <v/>
      </c>
    </row>
    <row r="240">
      <c r="A240" s="2" t="n"/>
      <c r="B240" s="2" t="n"/>
      <c r="C240" s="2" t="n"/>
      <c r="D240" s="8">
        <f>IF(B240="","",IFERROR(INDEX(Товары!$F$2:$F$51,MATCH(B240,Товары!$A$2:$A$51,0)),""))</f>
        <v/>
      </c>
      <c r="E240" s="8">
        <f>IF(OR(B240="",D240=""),"",C240*D240)</f>
        <v/>
      </c>
      <c r="F240" s="8">
        <f>IF(B240="","",IFERROR(C240*INDEX(Товары!$J$2:$J$51,MATCH(B240,Товары!$A$2:$A$51,0)),""))</f>
        <v/>
      </c>
      <c r="G240" s="2">
        <f>IF(A240="","",YEAR(A240)&amp;"-"&amp;TEXT(MONTH(A240),"00"))</f>
        <v/>
      </c>
    </row>
    <row r="241">
      <c r="A241" s="2" t="n"/>
      <c r="B241" s="2" t="n"/>
      <c r="C241" s="2" t="n"/>
      <c r="D241" s="8">
        <f>IF(B241="","",IFERROR(INDEX(Товары!$F$2:$F$51,MATCH(B241,Товары!$A$2:$A$51,0)),""))</f>
        <v/>
      </c>
      <c r="E241" s="8">
        <f>IF(OR(B241="",D241=""),"",C241*D241)</f>
        <v/>
      </c>
      <c r="F241" s="8">
        <f>IF(B241="","",IFERROR(C241*INDEX(Товары!$J$2:$J$51,MATCH(B241,Товары!$A$2:$A$51,0)),""))</f>
        <v/>
      </c>
      <c r="G241" s="2">
        <f>IF(A241="","",YEAR(A241)&amp;"-"&amp;TEXT(MONTH(A241),"00"))</f>
        <v/>
      </c>
    </row>
    <row r="242">
      <c r="A242" s="2" t="n"/>
      <c r="B242" s="2" t="n"/>
      <c r="C242" s="2" t="n"/>
      <c r="D242" s="8">
        <f>IF(B242="","",IFERROR(INDEX(Товары!$F$2:$F$51,MATCH(B242,Товары!$A$2:$A$51,0)),""))</f>
        <v/>
      </c>
      <c r="E242" s="8">
        <f>IF(OR(B242="",D242=""),"",C242*D242)</f>
        <v/>
      </c>
      <c r="F242" s="8">
        <f>IF(B242="","",IFERROR(C242*INDEX(Товары!$J$2:$J$51,MATCH(B242,Товары!$A$2:$A$51,0)),""))</f>
        <v/>
      </c>
      <c r="G242" s="2">
        <f>IF(A242="","",YEAR(A242)&amp;"-"&amp;TEXT(MONTH(A242),"00"))</f>
        <v/>
      </c>
    </row>
    <row r="243">
      <c r="A243" s="2" t="n"/>
      <c r="B243" s="2" t="n"/>
      <c r="C243" s="2" t="n"/>
      <c r="D243" s="8">
        <f>IF(B243="","",IFERROR(INDEX(Товары!$F$2:$F$51,MATCH(B243,Товары!$A$2:$A$51,0)),""))</f>
        <v/>
      </c>
      <c r="E243" s="8">
        <f>IF(OR(B243="",D243=""),"",C243*D243)</f>
        <v/>
      </c>
      <c r="F243" s="8">
        <f>IF(B243="","",IFERROR(C243*INDEX(Товары!$J$2:$J$51,MATCH(B243,Товары!$A$2:$A$51,0)),""))</f>
        <v/>
      </c>
      <c r="G243" s="2">
        <f>IF(A243="","",YEAR(A243)&amp;"-"&amp;TEXT(MONTH(A243),"00"))</f>
        <v/>
      </c>
    </row>
    <row r="244">
      <c r="A244" s="2" t="n"/>
      <c r="B244" s="2" t="n"/>
      <c r="C244" s="2" t="n"/>
      <c r="D244" s="8">
        <f>IF(B244="","",IFERROR(INDEX(Товары!$F$2:$F$51,MATCH(B244,Товары!$A$2:$A$51,0)),""))</f>
        <v/>
      </c>
      <c r="E244" s="8">
        <f>IF(OR(B244="",D244=""),"",C244*D244)</f>
        <v/>
      </c>
      <c r="F244" s="8">
        <f>IF(B244="","",IFERROR(C244*INDEX(Товары!$J$2:$J$51,MATCH(B244,Товары!$A$2:$A$51,0)),""))</f>
        <v/>
      </c>
      <c r="G244" s="2">
        <f>IF(A244="","",YEAR(A244)&amp;"-"&amp;TEXT(MONTH(A244),"00"))</f>
        <v/>
      </c>
    </row>
    <row r="245">
      <c r="A245" s="2" t="n"/>
      <c r="B245" s="2" t="n"/>
      <c r="C245" s="2" t="n"/>
      <c r="D245" s="8">
        <f>IF(B245="","",IFERROR(INDEX(Товары!$F$2:$F$51,MATCH(B245,Товары!$A$2:$A$51,0)),""))</f>
        <v/>
      </c>
      <c r="E245" s="8">
        <f>IF(OR(B245="",D245=""),"",C245*D245)</f>
        <v/>
      </c>
      <c r="F245" s="8">
        <f>IF(B245="","",IFERROR(C245*INDEX(Товары!$J$2:$J$51,MATCH(B245,Товары!$A$2:$A$51,0)),""))</f>
        <v/>
      </c>
      <c r="G245" s="2">
        <f>IF(A245="","",YEAR(A245)&amp;"-"&amp;TEXT(MONTH(A245),"00"))</f>
        <v/>
      </c>
    </row>
    <row r="246">
      <c r="A246" s="2" t="n"/>
      <c r="B246" s="2" t="n"/>
      <c r="C246" s="2" t="n"/>
      <c r="D246" s="8">
        <f>IF(B246="","",IFERROR(INDEX(Товары!$F$2:$F$51,MATCH(B246,Товары!$A$2:$A$51,0)),""))</f>
        <v/>
      </c>
      <c r="E246" s="8">
        <f>IF(OR(B246="",D246=""),"",C246*D246)</f>
        <v/>
      </c>
      <c r="F246" s="8">
        <f>IF(B246="","",IFERROR(C246*INDEX(Товары!$J$2:$J$51,MATCH(B246,Товары!$A$2:$A$51,0)),""))</f>
        <v/>
      </c>
      <c r="G246" s="2">
        <f>IF(A246="","",YEAR(A246)&amp;"-"&amp;TEXT(MONTH(A246),"00"))</f>
        <v/>
      </c>
    </row>
    <row r="247">
      <c r="A247" s="2" t="n"/>
      <c r="B247" s="2" t="n"/>
      <c r="C247" s="2" t="n"/>
      <c r="D247" s="8">
        <f>IF(B247="","",IFERROR(INDEX(Товары!$F$2:$F$51,MATCH(B247,Товары!$A$2:$A$51,0)),""))</f>
        <v/>
      </c>
      <c r="E247" s="8">
        <f>IF(OR(B247="",D247=""),"",C247*D247)</f>
        <v/>
      </c>
      <c r="F247" s="8">
        <f>IF(B247="","",IFERROR(C247*INDEX(Товары!$J$2:$J$51,MATCH(B247,Товары!$A$2:$A$51,0)),""))</f>
        <v/>
      </c>
      <c r="G247" s="2">
        <f>IF(A247="","",YEAR(A247)&amp;"-"&amp;TEXT(MONTH(A247),"00"))</f>
        <v/>
      </c>
    </row>
    <row r="248">
      <c r="A248" s="2" t="n"/>
      <c r="B248" s="2" t="n"/>
      <c r="C248" s="2" t="n"/>
      <c r="D248" s="8">
        <f>IF(B248="","",IFERROR(INDEX(Товары!$F$2:$F$51,MATCH(B248,Товары!$A$2:$A$51,0)),""))</f>
        <v/>
      </c>
      <c r="E248" s="8">
        <f>IF(OR(B248="",D248=""),"",C248*D248)</f>
        <v/>
      </c>
      <c r="F248" s="8">
        <f>IF(B248="","",IFERROR(C248*INDEX(Товары!$J$2:$J$51,MATCH(B248,Товары!$A$2:$A$51,0)),""))</f>
        <v/>
      </c>
      <c r="G248" s="2">
        <f>IF(A248="","",YEAR(A248)&amp;"-"&amp;TEXT(MONTH(A248),"00"))</f>
        <v/>
      </c>
    </row>
    <row r="249">
      <c r="A249" s="2" t="n"/>
      <c r="B249" s="2" t="n"/>
      <c r="C249" s="2" t="n"/>
      <c r="D249" s="8">
        <f>IF(B249="","",IFERROR(INDEX(Товары!$F$2:$F$51,MATCH(B249,Товары!$A$2:$A$51,0)),""))</f>
        <v/>
      </c>
      <c r="E249" s="8">
        <f>IF(OR(B249="",D249=""),"",C249*D249)</f>
        <v/>
      </c>
      <c r="F249" s="8">
        <f>IF(B249="","",IFERROR(C249*INDEX(Товары!$J$2:$J$51,MATCH(B249,Товары!$A$2:$A$51,0)),""))</f>
        <v/>
      </c>
      <c r="G249" s="2">
        <f>IF(A249="","",YEAR(A249)&amp;"-"&amp;TEXT(MONTH(A249),"00"))</f>
        <v/>
      </c>
    </row>
    <row r="250">
      <c r="A250" s="2" t="n"/>
      <c r="B250" s="2" t="n"/>
      <c r="C250" s="2" t="n"/>
      <c r="D250" s="8">
        <f>IF(B250="","",IFERROR(INDEX(Товары!$F$2:$F$51,MATCH(B250,Товары!$A$2:$A$51,0)),""))</f>
        <v/>
      </c>
      <c r="E250" s="8">
        <f>IF(OR(B250="",D250=""),"",C250*D250)</f>
        <v/>
      </c>
      <c r="F250" s="8">
        <f>IF(B250="","",IFERROR(C250*INDEX(Товары!$J$2:$J$51,MATCH(B250,Товары!$A$2:$A$51,0)),""))</f>
        <v/>
      </c>
      <c r="G250" s="2">
        <f>IF(A250="","",YEAR(A250)&amp;"-"&amp;TEXT(MONTH(A250),"00"))</f>
        <v/>
      </c>
    </row>
    <row r="251">
      <c r="A251" s="2" t="n"/>
      <c r="B251" s="2" t="n"/>
      <c r="C251" s="2" t="n"/>
      <c r="D251" s="8">
        <f>IF(B251="","",IFERROR(INDEX(Товары!$F$2:$F$51,MATCH(B251,Товары!$A$2:$A$51,0)),""))</f>
        <v/>
      </c>
      <c r="E251" s="8">
        <f>IF(OR(B251="",D251=""),"",C251*D251)</f>
        <v/>
      </c>
      <c r="F251" s="8">
        <f>IF(B251="","",IFERROR(C251*INDEX(Товары!$J$2:$J$51,MATCH(B251,Товары!$A$2:$A$51,0)),""))</f>
        <v/>
      </c>
      <c r="G251" s="2">
        <f>IF(A251="","",YEAR(A251)&amp;"-"&amp;TEXT(MONTH(A251),"00"))</f>
        <v/>
      </c>
    </row>
    <row r="252">
      <c r="A252" s="2" t="n"/>
      <c r="B252" s="2" t="n"/>
      <c r="C252" s="2" t="n"/>
      <c r="D252" s="8">
        <f>IF(B252="","",IFERROR(INDEX(Товары!$F$2:$F$51,MATCH(B252,Товары!$A$2:$A$51,0)),""))</f>
        <v/>
      </c>
      <c r="E252" s="8">
        <f>IF(OR(B252="",D252=""),"",C252*D252)</f>
        <v/>
      </c>
      <c r="F252" s="8">
        <f>IF(B252="","",IFERROR(C252*INDEX(Товары!$J$2:$J$51,MATCH(B252,Товары!$A$2:$A$51,0)),""))</f>
        <v/>
      </c>
      <c r="G252" s="2">
        <f>IF(A252="","",YEAR(A252)&amp;"-"&amp;TEXT(MONTH(A252),"00"))</f>
        <v/>
      </c>
    </row>
    <row r="253">
      <c r="A253" s="2" t="n"/>
      <c r="B253" s="2" t="n"/>
      <c r="C253" s="2" t="n"/>
      <c r="D253" s="8">
        <f>IF(B253="","",IFERROR(INDEX(Товары!$F$2:$F$51,MATCH(B253,Товары!$A$2:$A$51,0)),""))</f>
        <v/>
      </c>
      <c r="E253" s="8">
        <f>IF(OR(B253="",D253=""),"",C253*D253)</f>
        <v/>
      </c>
      <c r="F253" s="8">
        <f>IF(B253="","",IFERROR(C253*INDEX(Товары!$J$2:$J$51,MATCH(B253,Товары!$A$2:$A$51,0)),""))</f>
        <v/>
      </c>
      <c r="G253" s="2">
        <f>IF(A253="","",YEAR(A253)&amp;"-"&amp;TEXT(MONTH(A253),"00"))</f>
        <v/>
      </c>
    </row>
    <row r="254">
      <c r="A254" s="2" t="n"/>
      <c r="B254" s="2" t="n"/>
      <c r="C254" s="2" t="n"/>
      <c r="D254" s="8">
        <f>IF(B254="","",IFERROR(INDEX(Товары!$F$2:$F$51,MATCH(B254,Товары!$A$2:$A$51,0)),""))</f>
        <v/>
      </c>
      <c r="E254" s="8">
        <f>IF(OR(B254="",D254=""),"",C254*D254)</f>
        <v/>
      </c>
      <c r="F254" s="8">
        <f>IF(B254="","",IFERROR(C254*INDEX(Товары!$J$2:$J$51,MATCH(B254,Товары!$A$2:$A$51,0)),""))</f>
        <v/>
      </c>
      <c r="G254" s="2">
        <f>IF(A254="","",YEAR(A254)&amp;"-"&amp;TEXT(MONTH(A254),"00"))</f>
        <v/>
      </c>
    </row>
    <row r="255">
      <c r="A255" s="2" t="n"/>
      <c r="B255" s="2" t="n"/>
      <c r="C255" s="2" t="n"/>
      <c r="D255" s="8">
        <f>IF(B255="","",IFERROR(INDEX(Товары!$F$2:$F$51,MATCH(B255,Товары!$A$2:$A$51,0)),""))</f>
        <v/>
      </c>
      <c r="E255" s="8">
        <f>IF(OR(B255="",D255=""),"",C255*D255)</f>
        <v/>
      </c>
      <c r="F255" s="8">
        <f>IF(B255="","",IFERROR(C255*INDEX(Товары!$J$2:$J$51,MATCH(B255,Товары!$A$2:$A$51,0)),""))</f>
        <v/>
      </c>
      <c r="G255" s="2">
        <f>IF(A255="","",YEAR(A255)&amp;"-"&amp;TEXT(MONTH(A255),"00"))</f>
        <v/>
      </c>
    </row>
    <row r="256">
      <c r="A256" s="2" t="n"/>
      <c r="B256" s="2" t="n"/>
      <c r="C256" s="2" t="n"/>
      <c r="D256" s="8">
        <f>IF(B256="","",IFERROR(INDEX(Товары!$F$2:$F$51,MATCH(B256,Товары!$A$2:$A$51,0)),""))</f>
        <v/>
      </c>
      <c r="E256" s="8">
        <f>IF(OR(B256="",D256=""),"",C256*D256)</f>
        <v/>
      </c>
      <c r="F256" s="8">
        <f>IF(B256="","",IFERROR(C256*INDEX(Товары!$J$2:$J$51,MATCH(B256,Товары!$A$2:$A$51,0)),""))</f>
        <v/>
      </c>
      <c r="G256" s="2">
        <f>IF(A256="","",YEAR(A256)&amp;"-"&amp;TEXT(MONTH(A256),"00"))</f>
        <v/>
      </c>
    </row>
    <row r="257">
      <c r="A257" s="2" t="n"/>
      <c r="B257" s="2" t="n"/>
      <c r="C257" s="2" t="n"/>
      <c r="D257" s="8">
        <f>IF(B257="","",IFERROR(INDEX(Товары!$F$2:$F$51,MATCH(B257,Товары!$A$2:$A$51,0)),""))</f>
        <v/>
      </c>
      <c r="E257" s="8">
        <f>IF(OR(B257="",D257=""),"",C257*D257)</f>
        <v/>
      </c>
      <c r="F257" s="8">
        <f>IF(B257="","",IFERROR(C257*INDEX(Товары!$J$2:$J$51,MATCH(B257,Товары!$A$2:$A$51,0)),""))</f>
        <v/>
      </c>
      <c r="G257" s="2">
        <f>IF(A257="","",YEAR(A257)&amp;"-"&amp;TEXT(MONTH(A257),"00"))</f>
        <v/>
      </c>
    </row>
    <row r="258">
      <c r="A258" s="2" t="n"/>
      <c r="B258" s="2" t="n"/>
      <c r="C258" s="2" t="n"/>
      <c r="D258" s="8">
        <f>IF(B258="","",IFERROR(INDEX(Товары!$F$2:$F$51,MATCH(B258,Товары!$A$2:$A$51,0)),""))</f>
        <v/>
      </c>
      <c r="E258" s="8">
        <f>IF(OR(B258="",D258=""),"",C258*D258)</f>
        <v/>
      </c>
      <c r="F258" s="8">
        <f>IF(B258="","",IFERROR(C258*INDEX(Товары!$J$2:$J$51,MATCH(B258,Товары!$A$2:$A$51,0)),""))</f>
        <v/>
      </c>
      <c r="G258" s="2">
        <f>IF(A258="","",YEAR(A258)&amp;"-"&amp;TEXT(MONTH(A258),"00"))</f>
        <v/>
      </c>
    </row>
    <row r="259">
      <c r="A259" s="2" t="n"/>
      <c r="B259" s="2" t="n"/>
      <c r="C259" s="2" t="n"/>
      <c r="D259" s="8">
        <f>IF(B259="","",IFERROR(INDEX(Товары!$F$2:$F$51,MATCH(B259,Товары!$A$2:$A$51,0)),""))</f>
        <v/>
      </c>
      <c r="E259" s="8">
        <f>IF(OR(B259="",D259=""),"",C259*D259)</f>
        <v/>
      </c>
      <c r="F259" s="8">
        <f>IF(B259="","",IFERROR(C259*INDEX(Товары!$J$2:$J$51,MATCH(B259,Товары!$A$2:$A$51,0)),""))</f>
        <v/>
      </c>
      <c r="G259" s="2">
        <f>IF(A259="","",YEAR(A259)&amp;"-"&amp;TEXT(MONTH(A259),"00"))</f>
        <v/>
      </c>
    </row>
    <row r="260">
      <c r="A260" s="2" t="n"/>
      <c r="B260" s="2" t="n"/>
      <c r="C260" s="2" t="n"/>
      <c r="D260" s="8">
        <f>IF(B260="","",IFERROR(INDEX(Товары!$F$2:$F$51,MATCH(B260,Товары!$A$2:$A$51,0)),""))</f>
        <v/>
      </c>
      <c r="E260" s="8">
        <f>IF(OR(B260="",D260=""),"",C260*D260)</f>
        <v/>
      </c>
      <c r="F260" s="8">
        <f>IF(B260="","",IFERROR(C260*INDEX(Товары!$J$2:$J$51,MATCH(B260,Товары!$A$2:$A$51,0)),""))</f>
        <v/>
      </c>
      <c r="G260" s="2">
        <f>IF(A260="","",YEAR(A260)&amp;"-"&amp;TEXT(MONTH(A260),"00"))</f>
        <v/>
      </c>
    </row>
    <row r="261">
      <c r="A261" s="2" t="n"/>
      <c r="B261" s="2" t="n"/>
      <c r="C261" s="2" t="n"/>
      <c r="D261" s="8">
        <f>IF(B261="","",IFERROR(INDEX(Товары!$F$2:$F$51,MATCH(B261,Товары!$A$2:$A$51,0)),""))</f>
        <v/>
      </c>
      <c r="E261" s="8">
        <f>IF(OR(B261="",D261=""),"",C261*D261)</f>
        <v/>
      </c>
      <c r="F261" s="8">
        <f>IF(B261="","",IFERROR(C261*INDEX(Товары!$J$2:$J$51,MATCH(B261,Товары!$A$2:$A$51,0)),""))</f>
        <v/>
      </c>
      <c r="G261" s="2">
        <f>IF(A261="","",YEAR(A261)&amp;"-"&amp;TEXT(MONTH(A261),"00"))</f>
        <v/>
      </c>
    </row>
    <row r="262">
      <c r="A262" s="2" t="n"/>
      <c r="B262" s="2" t="n"/>
      <c r="C262" s="2" t="n"/>
      <c r="D262" s="8">
        <f>IF(B262="","",IFERROR(INDEX(Товары!$F$2:$F$51,MATCH(B262,Товары!$A$2:$A$51,0)),""))</f>
        <v/>
      </c>
      <c r="E262" s="8">
        <f>IF(OR(B262="",D262=""),"",C262*D262)</f>
        <v/>
      </c>
      <c r="F262" s="8">
        <f>IF(B262="","",IFERROR(C262*INDEX(Товары!$J$2:$J$51,MATCH(B262,Товары!$A$2:$A$51,0)),""))</f>
        <v/>
      </c>
      <c r="G262" s="2">
        <f>IF(A262="","",YEAR(A262)&amp;"-"&amp;TEXT(MONTH(A262),"00"))</f>
        <v/>
      </c>
    </row>
    <row r="263">
      <c r="A263" s="2" t="n"/>
      <c r="B263" s="2" t="n"/>
      <c r="C263" s="2" t="n"/>
      <c r="D263" s="8">
        <f>IF(B263="","",IFERROR(INDEX(Товары!$F$2:$F$51,MATCH(B263,Товары!$A$2:$A$51,0)),""))</f>
        <v/>
      </c>
      <c r="E263" s="8">
        <f>IF(OR(B263="",D263=""),"",C263*D263)</f>
        <v/>
      </c>
      <c r="F263" s="8">
        <f>IF(B263="","",IFERROR(C263*INDEX(Товары!$J$2:$J$51,MATCH(B263,Товары!$A$2:$A$51,0)),""))</f>
        <v/>
      </c>
      <c r="G263" s="2">
        <f>IF(A263="","",YEAR(A263)&amp;"-"&amp;TEXT(MONTH(A263),"00"))</f>
        <v/>
      </c>
    </row>
    <row r="264">
      <c r="A264" s="2" t="n"/>
      <c r="B264" s="2" t="n"/>
      <c r="C264" s="2" t="n"/>
      <c r="D264" s="8">
        <f>IF(B264="","",IFERROR(INDEX(Товары!$F$2:$F$51,MATCH(B264,Товары!$A$2:$A$51,0)),""))</f>
        <v/>
      </c>
      <c r="E264" s="8">
        <f>IF(OR(B264="",D264=""),"",C264*D264)</f>
        <v/>
      </c>
      <c r="F264" s="8">
        <f>IF(B264="","",IFERROR(C264*INDEX(Товары!$J$2:$J$51,MATCH(B264,Товары!$A$2:$A$51,0)),""))</f>
        <v/>
      </c>
      <c r="G264" s="2">
        <f>IF(A264="","",YEAR(A264)&amp;"-"&amp;TEXT(MONTH(A264),"00"))</f>
        <v/>
      </c>
    </row>
    <row r="265">
      <c r="A265" s="2" t="n"/>
      <c r="B265" s="2" t="n"/>
      <c r="C265" s="2" t="n"/>
      <c r="D265" s="8">
        <f>IF(B265="","",IFERROR(INDEX(Товары!$F$2:$F$51,MATCH(B265,Товары!$A$2:$A$51,0)),""))</f>
        <v/>
      </c>
      <c r="E265" s="8">
        <f>IF(OR(B265="",D265=""),"",C265*D265)</f>
        <v/>
      </c>
      <c r="F265" s="8">
        <f>IF(B265="","",IFERROR(C265*INDEX(Товары!$J$2:$J$51,MATCH(B265,Товары!$A$2:$A$51,0)),""))</f>
        <v/>
      </c>
      <c r="G265" s="2">
        <f>IF(A265="","",YEAR(A265)&amp;"-"&amp;TEXT(MONTH(A265),"00"))</f>
        <v/>
      </c>
    </row>
    <row r="266">
      <c r="A266" s="2" t="n"/>
      <c r="B266" s="2" t="n"/>
      <c r="C266" s="2" t="n"/>
      <c r="D266" s="8">
        <f>IF(B266="","",IFERROR(INDEX(Товары!$F$2:$F$51,MATCH(B266,Товары!$A$2:$A$51,0)),""))</f>
        <v/>
      </c>
      <c r="E266" s="8">
        <f>IF(OR(B266="",D266=""),"",C266*D266)</f>
        <v/>
      </c>
      <c r="F266" s="8">
        <f>IF(B266="","",IFERROR(C266*INDEX(Товары!$J$2:$J$51,MATCH(B266,Товары!$A$2:$A$51,0)),""))</f>
        <v/>
      </c>
      <c r="G266" s="2">
        <f>IF(A266="","",YEAR(A266)&amp;"-"&amp;TEXT(MONTH(A266),"00"))</f>
        <v/>
      </c>
    </row>
    <row r="267">
      <c r="A267" s="2" t="n"/>
      <c r="B267" s="2" t="n"/>
      <c r="C267" s="2" t="n"/>
      <c r="D267" s="8">
        <f>IF(B267="","",IFERROR(INDEX(Товары!$F$2:$F$51,MATCH(B267,Товары!$A$2:$A$51,0)),""))</f>
        <v/>
      </c>
      <c r="E267" s="8">
        <f>IF(OR(B267="",D267=""),"",C267*D267)</f>
        <v/>
      </c>
      <c r="F267" s="8">
        <f>IF(B267="","",IFERROR(C267*INDEX(Товары!$J$2:$J$51,MATCH(B267,Товары!$A$2:$A$51,0)),""))</f>
        <v/>
      </c>
      <c r="G267" s="2">
        <f>IF(A267="","",YEAR(A267)&amp;"-"&amp;TEXT(MONTH(A267),"00"))</f>
        <v/>
      </c>
    </row>
    <row r="268">
      <c r="A268" s="2" t="n"/>
      <c r="B268" s="2" t="n"/>
      <c r="C268" s="2" t="n"/>
      <c r="D268" s="8">
        <f>IF(B268="","",IFERROR(INDEX(Товары!$F$2:$F$51,MATCH(B268,Товары!$A$2:$A$51,0)),""))</f>
        <v/>
      </c>
      <c r="E268" s="8">
        <f>IF(OR(B268="",D268=""),"",C268*D268)</f>
        <v/>
      </c>
      <c r="F268" s="8">
        <f>IF(B268="","",IFERROR(C268*INDEX(Товары!$J$2:$J$51,MATCH(B268,Товары!$A$2:$A$51,0)),""))</f>
        <v/>
      </c>
      <c r="G268" s="2">
        <f>IF(A268="","",YEAR(A268)&amp;"-"&amp;TEXT(MONTH(A268),"00"))</f>
        <v/>
      </c>
    </row>
    <row r="269">
      <c r="A269" s="2" t="n"/>
      <c r="B269" s="2" t="n"/>
      <c r="C269" s="2" t="n"/>
      <c r="D269" s="8">
        <f>IF(B269="","",IFERROR(INDEX(Товары!$F$2:$F$51,MATCH(B269,Товары!$A$2:$A$51,0)),""))</f>
        <v/>
      </c>
      <c r="E269" s="8">
        <f>IF(OR(B269="",D269=""),"",C269*D269)</f>
        <v/>
      </c>
      <c r="F269" s="8">
        <f>IF(B269="","",IFERROR(C269*INDEX(Товары!$J$2:$J$51,MATCH(B269,Товары!$A$2:$A$51,0)),""))</f>
        <v/>
      </c>
      <c r="G269" s="2">
        <f>IF(A269="","",YEAR(A269)&amp;"-"&amp;TEXT(MONTH(A269),"00"))</f>
        <v/>
      </c>
    </row>
    <row r="270">
      <c r="A270" s="2" t="n"/>
      <c r="B270" s="2" t="n"/>
      <c r="C270" s="2" t="n"/>
      <c r="D270" s="8">
        <f>IF(B270="","",IFERROR(INDEX(Товары!$F$2:$F$51,MATCH(B270,Товары!$A$2:$A$51,0)),""))</f>
        <v/>
      </c>
      <c r="E270" s="8">
        <f>IF(OR(B270="",D270=""),"",C270*D270)</f>
        <v/>
      </c>
      <c r="F270" s="8">
        <f>IF(B270="","",IFERROR(C270*INDEX(Товары!$J$2:$J$51,MATCH(B270,Товары!$A$2:$A$51,0)),""))</f>
        <v/>
      </c>
      <c r="G270" s="2">
        <f>IF(A270="","",YEAR(A270)&amp;"-"&amp;TEXT(MONTH(A270),"00"))</f>
        <v/>
      </c>
    </row>
    <row r="271">
      <c r="A271" s="2" t="n"/>
      <c r="B271" s="2" t="n"/>
      <c r="C271" s="2" t="n"/>
      <c r="D271" s="8">
        <f>IF(B271="","",IFERROR(INDEX(Товары!$F$2:$F$51,MATCH(B271,Товары!$A$2:$A$51,0)),""))</f>
        <v/>
      </c>
      <c r="E271" s="8">
        <f>IF(OR(B271="",D271=""),"",C271*D271)</f>
        <v/>
      </c>
      <c r="F271" s="8">
        <f>IF(B271="","",IFERROR(C271*INDEX(Товары!$J$2:$J$51,MATCH(B271,Товары!$A$2:$A$51,0)),""))</f>
        <v/>
      </c>
      <c r="G271" s="2">
        <f>IF(A271="","",YEAR(A271)&amp;"-"&amp;TEXT(MONTH(A271),"00"))</f>
        <v/>
      </c>
    </row>
    <row r="272">
      <c r="A272" s="2" t="n"/>
      <c r="B272" s="2" t="n"/>
      <c r="C272" s="2" t="n"/>
      <c r="D272" s="8">
        <f>IF(B272="","",IFERROR(INDEX(Товары!$F$2:$F$51,MATCH(B272,Товары!$A$2:$A$51,0)),""))</f>
        <v/>
      </c>
      <c r="E272" s="8">
        <f>IF(OR(B272="",D272=""),"",C272*D272)</f>
        <v/>
      </c>
      <c r="F272" s="8">
        <f>IF(B272="","",IFERROR(C272*INDEX(Товары!$J$2:$J$51,MATCH(B272,Товары!$A$2:$A$51,0)),""))</f>
        <v/>
      </c>
      <c r="G272" s="2">
        <f>IF(A272="","",YEAR(A272)&amp;"-"&amp;TEXT(MONTH(A272),"00"))</f>
        <v/>
      </c>
    </row>
    <row r="273">
      <c r="A273" s="2" t="n"/>
      <c r="B273" s="2" t="n"/>
      <c r="C273" s="2" t="n"/>
      <c r="D273" s="8">
        <f>IF(B273="","",IFERROR(INDEX(Товары!$F$2:$F$51,MATCH(B273,Товары!$A$2:$A$51,0)),""))</f>
        <v/>
      </c>
      <c r="E273" s="8">
        <f>IF(OR(B273="",D273=""),"",C273*D273)</f>
        <v/>
      </c>
      <c r="F273" s="8">
        <f>IF(B273="","",IFERROR(C273*INDEX(Товары!$J$2:$J$51,MATCH(B273,Товары!$A$2:$A$51,0)),""))</f>
        <v/>
      </c>
      <c r="G273" s="2">
        <f>IF(A273="","",YEAR(A273)&amp;"-"&amp;TEXT(MONTH(A273),"00"))</f>
        <v/>
      </c>
    </row>
    <row r="274">
      <c r="A274" s="2" t="n"/>
      <c r="B274" s="2" t="n"/>
      <c r="C274" s="2" t="n"/>
      <c r="D274" s="8">
        <f>IF(B274="","",IFERROR(INDEX(Товары!$F$2:$F$51,MATCH(B274,Товары!$A$2:$A$51,0)),""))</f>
        <v/>
      </c>
      <c r="E274" s="8">
        <f>IF(OR(B274="",D274=""),"",C274*D274)</f>
        <v/>
      </c>
      <c r="F274" s="8">
        <f>IF(B274="","",IFERROR(C274*INDEX(Товары!$J$2:$J$51,MATCH(B274,Товары!$A$2:$A$51,0)),""))</f>
        <v/>
      </c>
      <c r="G274" s="2">
        <f>IF(A274="","",YEAR(A274)&amp;"-"&amp;TEXT(MONTH(A274),"00"))</f>
        <v/>
      </c>
    </row>
    <row r="275">
      <c r="A275" s="2" t="n"/>
      <c r="B275" s="2" t="n"/>
      <c r="C275" s="2" t="n"/>
      <c r="D275" s="8">
        <f>IF(B275="","",IFERROR(INDEX(Товары!$F$2:$F$51,MATCH(B275,Товары!$A$2:$A$51,0)),""))</f>
        <v/>
      </c>
      <c r="E275" s="8">
        <f>IF(OR(B275="",D275=""),"",C275*D275)</f>
        <v/>
      </c>
      <c r="F275" s="8">
        <f>IF(B275="","",IFERROR(C275*INDEX(Товары!$J$2:$J$51,MATCH(B275,Товары!$A$2:$A$51,0)),""))</f>
        <v/>
      </c>
      <c r="G275" s="2">
        <f>IF(A275="","",YEAR(A275)&amp;"-"&amp;TEXT(MONTH(A275),"00"))</f>
        <v/>
      </c>
    </row>
    <row r="276">
      <c r="A276" s="2" t="n"/>
      <c r="B276" s="2" t="n"/>
      <c r="C276" s="2" t="n"/>
      <c r="D276" s="8">
        <f>IF(B276="","",IFERROR(INDEX(Товары!$F$2:$F$51,MATCH(B276,Товары!$A$2:$A$51,0)),""))</f>
        <v/>
      </c>
      <c r="E276" s="8">
        <f>IF(OR(B276="",D276=""),"",C276*D276)</f>
        <v/>
      </c>
      <c r="F276" s="8">
        <f>IF(B276="","",IFERROR(C276*INDEX(Товары!$J$2:$J$51,MATCH(B276,Товары!$A$2:$A$51,0)),""))</f>
        <v/>
      </c>
      <c r="G276" s="2">
        <f>IF(A276="","",YEAR(A276)&amp;"-"&amp;TEXT(MONTH(A276),"00"))</f>
        <v/>
      </c>
    </row>
    <row r="277">
      <c r="A277" s="2" t="n"/>
      <c r="B277" s="2" t="n"/>
      <c r="C277" s="2" t="n"/>
      <c r="D277" s="8">
        <f>IF(B277="","",IFERROR(INDEX(Товары!$F$2:$F$51,MATCH(B277,Товары!$A$2:$A$51,0)),""))</f>
        <v/>
      </c>
      <c r="E277" s="8">
        <f>IF(OR(B277="",D277=""),"",C277*D277)</f>
        <v/>
      </c>
      <c r="F277" s="8">
        <f>IF(B277="","",IFERROR(C277*INDEX(Товары!$J$2:$J$51,MATCH(B277,Товары!$A$2:$A$51,0)),""))</f>
        <v/>
      </c>
      <c r="G277" s="2">
        <f>IF(A277="","",YEAR(A277)&amp;"-"&amp;TEXT(MONTH(A277),"00"))</f>
        <v/>
      </c>
    </row>
    <row r="278">
      <c r="A278" s="2" t="n"/>
      <c r="B278" s="2" t="n"/>
      <c r="C278" s="2" t="n"/>
      <c r="D278" s="8">
        <f>IF(B278="","",IFERROR(INDEX(Товары!$F$2:$F$51,MATCH(B278,Товары!$A$2:$A$51,0)),""))</f>
        <v/>
      </c>
      <c r="E278" s="8">
        <f>IF(OR(B278="",D278=""),"",C278*D278)</f>
        <v/>
      </c>
      <c r="F278" s="8">
        <f>IF(B278="","",IFERROR(C278*INDEX(Товары!$J$2:$J$51,MATCH(B278,Товары!$A$2:$A$51,0)),""))</f>
        <v/>
      </c>
      <c r="G278" s="2">
        <f>IF(A278="","",YEAR(A278)&amp;"-"&amp;TEXT(MONTH(A278),"00"))</f>
        <v/>
      </c>
    </row>
    <row r="279">
      <c r="A279" s="2" t="n"/>
      <c r="B279" s="2" t="n"/>
      <c r="C279" s="2" t="n"/>
      <c r="D279" s="8">
        <f>IF(B279="","",IFERROR(INDEX(Товары!$F$2:$F$51,MATCH(B279,Товары!$A$2:$A$51,0)),""))</f>
        <v/>
      </c>
      <c r="E279" s="8">
        <f>IF(OR(B279="",D279=""),"",C279*D279)</f>
        <v/>
      </c>
      <c r="F279" s="8">
        <f>IF(B279="","",IFERROR(C279*INDEX(Товары!$J$2:$J$51,MATCH(B279,Товары!$A$2:$A$51,0)),""))</f>
        <v/>
      </c>
      <c r="G279" s="2">
        <f>IF(A279="","",YEAR(A279)&amp;"-"&amp;TEXT(MONTH(A279),"00"))</f>
        <v/>
      </c>
    </row>
    <row r="280">
      <c r="A280" s="2" t="n"/>
      <c r="B280" s="2" t="n"/>
      <c r="C280" s="2" t="n"/>
      <c r="D280" s="8">
        <f>IF(B280="","",IFERROR(INDEX(Товары!$F$2:$F$51,MATCH(B280,Товары!$A$2:$A$51,0)),""))</f>
        <v/>
      </c>
      <c r="E280" s="8">
        <f>IF(OR(B280="",D280=""),"",C280*D280)</f>
        <v/>
      </c>
      <c r="F280" s="8">
        <f>IF(B280="","",IFERROR(C280*INDEX(Товары!$J$2:$J$51,MATCH(B280,Товары!$A$2:$A$51,0)),""))</f>
        <v/>
      </c>
      <c r="G280" s="2">
        <f>IF(A280="","",YEAR(A280)&amp;"-"&amp;TEXT(MONTH(A280),"00"))</f>
        <v/>
      </c>
    </row>
    <row r="281">
      <c r="A281" s="2" t="n"/>
      <c r="B281" s="2" t="n"/>
      <c r="C281" s="2" t="n"/>
      <c r="D281" s="8">
        <f>IF(B281="","",IFERROR(INDEX(Товары!$F$2:$F$51,MATCH(B281,Товары!$A$2:$A$51,0)),""))</f>
        <v/>
      </c>
      <c r="E281" s="8">
        <f>IF(OR(B281="",D281=""),"",C281*D281)</f>
        <v/>
      </c>
      <c r="F281" s="8">
        <f>IF(B281="","",IFERROR(C281*INDEX(Товары!$J$2:$J$51,MATCH(B281,Товары!$A$2:$A$51,0)),""))</f>
        <v/>
      </c>
      <c r="G281" s="2">
        <f>IF(A281="","",YEAR(A281)&amp;"-"&amp;TEXT(MONTH(A281),"00"))</f>
        <v/>
      </c>
    </row>
    <row r="282">
      <c r="A282" s="2" t="n"/>
      <c r="B282" s="2" t="n"/>
      <c r="C282" s="2" t="n"/>
      <c r="D282" s="8">
        <f>IF(B282="","",IFERROR(INDEX(Товары!$F$2:$F$51,MATCH(B282,Товары!$A$2:$A$51,0)),""))</f>
        <v/>
      </c>
      <c r="E282" s="8">
        <f>IF(OR(B282="",D282=""),"",C282*D282)</f>
        <v/>
      </c>
      <c r="F282" s="8">
        <f>IF(B282="","",IFERROR(C282*INDEX(Товары!$J$2:$J$51,MATCH(B282,Товары!$A$2:$A$51,0)),""))</f>
        <v/>
      </c>
      <c r="G282" s="2">
        <f>IF(A282="","",YEAR(A282)&amp;"-"&amp;TEXT(MONTH(A282),"00"))</f>
        <v/>
      </c>
    </row>
    <row r="283">
      <c r="A283" s="2" t="n"/>
      <c r="B283" s="2" t="n"/>
      <c r="C283" s="2" t="n"/>
      <c r="D283" s="8">
        <f>IF(B283="","",IFERROR(INDEX(Товары!$F$2:$F$51,MATCH(B283,Товары!$A$2:$A$51,0)),""))</f>
        <v/>
      </c>
      <c r="E283" s="8">
        <f>IF(OR(B283="",D283=""),"",C283*D283)</f>
        <v/>
      </c>
      <c r="F283" s="8">
        <f>IF(B283="","",IFERROR(C283*INDEX(Товары!$J$2:$J$51,MATCH(B283,Товары!$A$2:$A$51,0)),""))</f>
        <v/>
      </c>
      <c r="G283" s="2">
        <f>IF(A283="","",YEAR(A283)&amp;"-"&amp;TEXT(MONTH(A283),"00"))</f>
        <v/>
      </c>
    </row>
    <row r="284">
      <c r="A284" s="2" t="n"/>
      <c r="B284" s="2" t="n"/>
      <c r="C284" s="2" t="n"/>
      <c r="D284" s="8">
        <f>IF(B284="","",IFERROR(INDEX(Товары!$F$2:$F$51,MATCH(B284,Товары!$A$2:$A$51,0)),""))</f>
        <v/>
      </c>
      <c r="E284" s="8">
        <f>IF(OR(B284="",D284=""),"",C284*D284)</f>
        <v/>
      </c>
      <c r="F284" s="8">
        <f>IF(B284="","",IFERROR(C284*INDEX(Товары!$J$2:$J$51,MATCH(B284,Товары!$A$2:$A$51,0)),""))</f>
        <v/>
      </c>
      <c r="G284" s="2">
        <f>IF(A284="","",YEAR(A284)&amp;"-"&amp;TEXT(MONTH(A284),"00"))</f>
        <v/>
      </c>
    </row>
    <row r="285">
      <c r="A285" s="2" t="n"/>
      <c r="B285" s="2" t="n"/>
      <c r="C285" s="2" t="n"/>
      <c r="D285" s="8">
        <f>IF(B285="","",IFERROR(INDEX(Товары!$F$2:$F$51,MATCH(B285,Товары!$A$2:$A$51,0)),""))</f>
        <v/>
      </c>
      <c r="E285" s="8">
        <f>IF(OR(B285="",D285=""),"",C285*D285)</f>
        <v/>
      </c>
      <c r="F285" s="8">
        <f>IF(B285="","",IFERROR(C285*INDEX(Товары!$J$2:$J$51,MATCH(B285,Товары!$A$2:$A$51,0)),""))</f>
        <v/>
      </c>
      <c r="G285" s="2">
        <f>IF(A285="","",YEAR(A285)&amp;"-"&amp;TEXT(MONTH(A285),"00"))</f>
        <v/>
      </c>
    </row>
    <row r="286">
      <c r="A286" s="2" t="n"/>
      <c r="B286" s="2" t="n"/>
      <c r="C286" s="2" t="n"/>
      <c r="D286" s="8">
        <f>IF(B286="","",IFERROR(INDEX(Товары!$F$2:$F$51,MATCH(B286,Товары!$A$2:$A$51,0)),""))</f>
        <v/>
      </c>
      <c r="E286" s="8">
        <f>IF(OR(B286="",D286=""),"",C286*D286)</f>
        <v/>
      </c>
      <c r="F286" s="8">
        <f>IF(B286="","",IFERROR(C286*INDEX(Товары!$J$2:$J$51,MATCH(B286,Товары!$A$2:$A$51,0)),""))</f>
        <v/>
      </c>
      <c r="G286" s="2">
        <f>IF(A286="","",YEAR(A286)&amp;"-"&amp;TEXT(MONTH(A286),"00"))</f>
        <v/>
      </c>
    </row>
    <row r="287">
      <c r="A287" s="2" t="n"/>
      <c r="B287" s="2" t="n"/>
      <c r="C287" s="2" t="n"/>
      <c r="D287" s="8">
        <f>IF(B287="","",IFERROR(INDEX(Товары!$F$2:$F$51,MATCH(B287,Товары!$A$2:$A$51,0)),""))</f>
        <v/>
      </c>
      <c r="E287" s="8">
        <f>IF(OR(B287="",D287=""),"",C287*D287)</f>
        <v/>
      </c>
      <c r="F287" s="8">
        <f>IF(B287="","",IFERROR(C287*INDEX(Товары!$J$2:$J$51,MATCH(B287,Товары!$A$2:$A$51,0)),""))</f>
        <v/>
      </c>
      <c r="G287" s="2">
        <f>IF(A287="","",YEAR(A287)&amp;"-"&amp;TEXT(MONTH(A287),"00"))</f>
        <v/>
      </c>
    </row>
    <row r="288">
      <c r="A288" s="2" t="n"/>
      <c r="B288" s="2" t="n"/>
      <c r="C288" s="2" t="n"/>
      <c r="D288" s="8">
        <f>IF(B288="","",IFERROR(INDEX(Товары!$F$2:$F$51,MATCH(B288,Товары!$A$2:$A$51,0)),""))</f>
        <v/>
      </c>
      <c r="E288" s="8">
        <f>IF(OR(B288="",D288=""),"",C288*D288)</f>
        <v/>
      </c>
      <c r="F288" s="8">
        <f>IF(B288="","",IFERROR(C288*INDEX(Товары!$J$2:$J$51,MATCH(B288,Товары!$A$2:$A$51,0)),""))</f>
        <v/>
      </c>
      <c r="G288" s="2">
        <f>IF(A288="","",YEAR(A288)&amp;"-"&amp;TEXT(MONTH(A288),"00"))</f>
        <v/>
      </c>
    </row>
    <row r="289">
      <c r="A289" s="2" t="n"/>
      <c r="B289" s="2" t="n"/>
      <c r="C289" s="2" t="n"/>
      <c r="D289" s="8">
        <f>IF(B289="","",IFERROR(INDEX(Товары!$F$2:$F$51,MATCH(B289,Товары!$A$2:$A$51,0)),""))</f>
        <v/>
      </c>
      <c r="E289" s="8">
        <f>IF(OR(B289="",D289=""),"",C289*D289)</f>
        <v/>
      </c>
      <c r="F289" s="8">
        <f>IF(B289="","",IFERROR(C289*INDEX(Товары!$J$2:$J$51,MATCH(B289,Товары!$A$2:$A$51,0)),""))</f>
        <v/>
      </c>
      <c r="G289" s="2">
        <f>IF(A289="","",YEAR(A289)&amp;"-"&amp;TEXT(MONTH(A289),"00"))</f>
        <v/>
      </c>
    </row>
    <row r="290">
      <c r="A290" s="2" t="n"/>
      <c r="B290" s="2" t="n"/>
      <c r="C290" s="2" t="n"/>
      <c r="D290" s="8">
        <f>IF(B290="","",IFERROR(INDEX(Товары!$F$2:$F$51,MATCH(B290,Товары!$A$2:$A$51,0)),""))</f>
        <v/>
      </c>
      <c r="E290" s="8">
        <f>IF(OR(B290="",D290=""),"",C290*D290)</f>
        <v/>
      </c>
      <c r="F290" s="8">
        <f>IF(B290="","",IFERROR(C290*INDEX(Товары!$J$2:$J$51,MATCH(B290,Товары!$A$2:$A$51,0)),""))</f>
        <v/>
      </c>
      <c r="G290" s="2">
        <f>IF(A290="","",YEAR(A290)&amp;"-"&amp;TEXT(MONTH(A290),"00"))</f>
        <v/>
      </c>
    </row>
    <row r="291">
      <c r="A291" s="2" t="n"/>
      <c r="B291" s="2" t="n"/>
      <c r="C291" s="2" t="n"/>
      <c r="D291" s="8">
        <f>IF(B291="","",IFERROR(INDEX(Товары!$F$2:$F$51,MATCH(B291,Товары!$A$2:$A$51,0)),""))</f>
        <v/>
      </c>
      <c r="E291" s="8">
        <f>IF(OR(B291="",D291=""),"",C291*D291)</f>
        <v/>
      </c>
      <c r="F291" s="8">
        <f>IF(B291="","",IFERROR(C291*INDEX(Товары!$J$2:$J$51,MATCH(B291,Товары!$A$2:$A$51,0)),""))</f>
        <v/>
      </c>
      <c r="G291" s="2">
        <f>IF(A291="","",YEAR(A291)&amp;"-"&amp;TEXT(MONTH(A291),"00"))</f>
        <v/>
      </c>
    </row>
    <row r="292">
      <c r="A292" s="2" t="n"/>
      <c r="B292" s="2" t="n"/>
      <c r="C292" s="2" t="n"/>
      <c r="D292" s="8">
        <f>IF(B292="","",IFERROR(INDEX(Товары!$F$2:$F$51,MATCH(B292,Товары!$A$2:$A$51,0)),""))</f>
        <v/>
      </c>
      <c r="E292" s="8">
        <f>IF(OR(B292="",D292=""),"",C292*D292)</f>
        <v/>
      </c>
      <c r="F292" s="8">
        <f>IF(B292="","",IFERROR(C292*INDEX(Товары!$J$2:$J$51,MATCH(B292,Товары!$A$2:$A$51,0)),""))</f>
        <v/>
      </c>
      <c r="G292" s="2">
        <f>IF(A292="","",YEAR(A292)&amp;"-"&amp;TEXT(MONTH(A292),"00"))</f>
        <v/>
      </c>
    </row>
    <row r="293">
      <c r="A293" s="2" t="n"/>
      <c r="B293" s="2" t="n"/>
      <c r="C293" s="2" t="n"/>
      <c r="D293" s="8">
        <f>IF(B293="","",IFERROR(INDEX(Товары!$F$2:$F$51,MATCH(B293,Товары!$A$2:$A$51,0)),""))</f>
        <v/>
      </c>
      <c r="E293" s="8">
        <f>IF(OR(B293="",D293=""),"",C293*D293)</f>
        <v/>
      </c>
      <c r="F293" s="8">
        <f>IF(B293="","",IFERROR(C293*INDEX(Товары!$J$2:$J$51,MATCH(B293,Товары!$A$2:$A$51,0)),""))</f>
        <v/>
      </c>
      <c r="G293" s="2">
        <f>IF(A293="","",YEAR(A293)&amp;"-"&amp;TEXT(MONTH(A293),"00"))</f>
        <v/>
      </c>
    </row>
    <row r="294">
      <c r="A294" s="2" t="n"/>
      <c r="B294" s="2" t="n"/>
      <c r="C294" s="2" t="n"/>
      <c r="D294" s="8">
        <f>IF(B294="","",IFERROR(INDEX(Товары!$F$2:$F$51,MATCH(B294,Товары!$A$2:$A$51,0)),""))</f>
        <v/>
      </c>
      <c r="E294" s="8">
        <f>IF(OR(B294="",D294=""),"",C294*D294)</f>
        <v/>
      </c>
      <c r="F294" s="8">
        <f>IF(B294="","",IFERROR(C294*INDEX(Товары!$J$2:$J$51,MATCH(B294,Товары!$A$2:$A$51,0)),""))</f>
        <v/>
      </c>
      <c r="G294" s="2">
        <f>IF(A294="","",YEAR(A294)&amp;"-"&amp;TEXT(MONTH(A294),"00"))</f>
        <v/>
      </c>
    </row>
    <row r="295">
      <c r="A295" s="2" t="n"/>
      <c r="B295" s="2" t="n"/>
      <c r="C295" s="2" t="n"/>
      <c r="D295" s="8">
        <f>IF(B295="","",IFERROR(INDEX(Товары!$F$2:$F$51,MATCH(B295,Товары!$A$2:$A$51,0)),""))</f>
        <v/>
      </c>
      <c r="E295" s="8">
        <f>IF(OR(B295="",D295=""),"",C295*D295)</f>
        <v/>
      </c>
      <c r="F295" s="8">
        <f>IF(B295="","",IFERROR(C295*INDEX(Товары!$J$2:$J$51,MATCH(B295,Товары!$A$2:$A$51,0)),""))</f>
        <v/>
      </c>
      <c r="G295" s="2">
        <f>IF(A295="","",YEAR(A295)&amp;"-"&amp;TEXT(MONTH(A295),"00"))</f>
        <v/>
      </c>
    </row>
    <row r="296">
      <c r="A296" s="2" t="n"/>
      <c r="B296" s="2" t="n"/>
      <c r="C296" s="2" t="n"/>
      <c r="D296" s="8">
        <f>IF(B296="","",IFERROR(INDEX(Товары!$F$2:$F$51,MATCH(B296,Товары!$A$2:$A$51,0)),""))</f>
        <v/>
      </c>
      <c r="E296" s="8">
        <f>IF(OR(B296="",D296=""),"",C296*D296)</f>
        <v/>
      </c>
      <c r="F296" s="8">
        <f>IF(B296="","",IFERROR(C296*INDEX(Товары!$J$2:$J$51,MATCH(B296,Товары!$A$2:$A$51,0)),""))</f>
        <v/>
      </c>
      <c r="G296" s="2">
        <f>IF(A296="","",YEAR(A296)&amp;"-"&amp;TEXT(MONTH(A296),"00"))</f>
        <v/>
      </c>
    </row>
    <row r="297">
      <c r="A297" s="2" t="n"/>
      <c r="B297" s="2" t="n"/>
      <c r="C297" s="2" t="n"/>
      <c r="D297" s="8">
        <f>IF(B297="","",IFERROR(INDEX(Товары!$F$2:$F$51,MATCH(B297,Товары!$A$2:$A$51,0)),""))</f>
        <v/>
      </c>
      <c r="E297" s="8">
        <f>IF(OR(B297="",D297=""),"",C297*D297)</f>
        <v/>
      </c>
      <c r="F297" s="8">
        <f>IF(B297="","",IFERROR(C297*INDEX(Товары!$J$2:$J$51,MATCH(B297,Товары!$A$2:$A$51,0)),""))</f>
        <v/>
      </c>
      <c r="G297" s="2">
        <f>IF(A297="","",YEAR(A297)&amp;"-"&amp;TEXT(MONTH(A297),"00"))</f>
        <v/>
      </c>
    </row>
    <row r="298">
      <c r="A298" s="2" t="n"/>
      <c r="B298" s="2" t="n"/>
      <c r="C298" s="2" t="n"/>
      <c r="D298" s="8">
        <f>IF(B298="","",IFERROR(INDEX(Товары!$F$2:$F$51,MATCH(B298,Товары!$A$2:$A$51,0)),""))</f>
        <v/>
      </c>
      <c r="E298" s="8">
        <f>IF(OR(B298="",D298=""),"",C298*D298)</f>
        <v/>
      </c>
      <c r="F298" s="8">
        <f>IF(B298="","",IFERROR(C298*INDEX(Товары!$J$2:$J$51,MATCH(B298,Товары!$A$2:$A$51,0)),""))</f>
        <v/>
      </c>
      <c r="G298" s="2">
        <f>IF(A298="","",YEAR(A298)&amp;"-"&amp;TEXT(MONTH(A298),"00"))</f>
        <v/>
      </c>
    </row>
    <row r="299">
      <c r="A299" s="2" t="n"/>
      <c r="B299" s="2" t="n"/>
      <c r="C299" s="2" t="n"/>
      <c r="D299" s="8">
        <f>IF(B299="","",IFERROR(INDEX(Товары!$F$2:$F$51,MATCH(B299,Товары!$A$2:$A$51,0)),""))</f>
        <v/>
      </c>
      <c r="E299" s="8">
        <f>IF(OR(B299="",D299=""),"",C299*D299)</f>
        <v/>
      </c>
      <c r="F299" s="8">
        <f>IF(B299="","",IFERROR(C299*INDEX(Товары!$J$2:$J$51,MATCH(B299,Товары!$A$2:$A$51,0)),""))</f>
        <v/>
      </c>
      <c r="G299" s="2">
        <f>IF(A299="","",YEAR(A299)&amp;"-"&amp;TEXT(MONTH(A299),"00"))</f>
        <v/>
      </c>
    </row>
    <row r="300">
      <c r="A300" s="2" t="n"/>
      <c r="B300" s="2" t="n"/>
      <c r="C300" s="2" t="n"/>
      <c r="D300" s="8">
        <f>IF(B300="","",IFERROR(INDEX(Товары!$F$2:$F$51,MATCH(B300,Товары!$A$2:$A$51,0)),""))</f>
        <v/>
      </c>
      <c r="E300" s="8">
        <f>IF(OR(B300="",D300=""),"",C300*D300)</f>
        <v/>
      </c>
      <c r="F300" s="8">
        <f>IF(B300="","",IFERROR(C300*INDEX(Товары!$J$2:$J$51,MATCH(B300,Товары!$A$2:$A$51,0)),""))</f>
        <v/>
      </c>
      <c r="G300" s="2">
        <f>IF(A300="","",YEAR(A300)&amp;"-"&amp;TEXT(MONTH(A300),"00"))</f>
        <v/>
      </c>
    </row>
    <row r="301">
      <c r="A301" s="2" t="n"/>
      <c r="B301" s="2" t="n"/>
      <c r="C301" s="2" t="n"/>
      <c r="D301" s="8">
        <f>IF(B301="","",IFERROR(INDEX(Товары!$F$2:$F$51,MATCH(B301,Товары!$A$2:$A$51,0)),""))</f>
        <v/>
      </c>
      <c r="E301" s="8">
        <f>IF(OR(B301="",D301=""),"",C301*D301)</f>
        <v/>
      </c>
      <c r="F301" s="8">
        <f>IF(B301="","",IFERROR(C301*INDEX(Товары!$J$2:$J$51,MATCH(B301,Товары!$A$2:$A$51,0)),""))</f>
        <v/>
      </c>
      <c r="G301" s="2">
        <f>IF(A301="","",YEAR(A301)&amp;"-"&amp;TEXT(MONTH(A301),"00"))</f>
        <v/>
      </c>
    </row>
    <row r="302">
      <c r="A302" s="2" t="n"/>
      <c r="B302" s="2" t="n"/>
      <c r="C302" s="2" t="n"/>
      <c r="D302" s="8">
        <f>IF(B302="","",IFERROR(INDEX(Товары!$F$2:$F$51,MATCH(B302,Товары!$A$2:$A$51,0)),""))</f>
        <v/>
      </c>
      <c r="E302" s="8">
        <f>IF(OR(B302="",D302=""),"",C302*D302)</f>
        <v/>
      </c>
      <c r="F302" s="8">
        <f>IF(B302="","",IFERROR(C302*INDEX(Товары!$J$2:$J$51,MATCH(B302,Товары!$A$2:$A$51,0)),""))</f>
        <v/>
      </c>
      <c r="G302" s="2">
        <f>IF(A302="","",YEAR(A302)&amp;"-"&amp;TEXT(MONTH(A302),"00"))</f>
        <v/>
      </c>
    </row>
    <row r="303">
      <c r="A303" s="2" t="n"/>
      <c r="B303" s="2" t="n"/>
      <c r="C303" s="2" t="n"/>
      <c r="D303" s="8">
        <f>IF(B303="","",IFERROR(INDEX(Товары!$F$2:$F$51,MATCH(B303,Товары!$A$2:$A$51,0)),""))</f>
        <v/>
      </c>
      <c r="E303" s="8">
        <f>IF(OR(B303="",D303=""),"",C303*D303)</f>
        <v/>
      </c>
      <c r="F303" s="8">
        <f>IF(B303="","",IFERROR(C303*INDEX(Товары!$J$2:$J$51,MATCH(B303,Товары!$A$2:$A$51,0)),""))</f>
        <v/>
      </c>
      <c r="G303" s="2">
        <f>IF(A303="","",YEAR(A303)&amp;"-"&amp;TEXT(MONTH(A303),"00"))</f>
        <v/>
      </c>
    </row>
    <row r="304">
      <c r="A304" s="2" t="n"/>
      <c r="B304" s="2" t="n"/>
      <c r="C304" s="2" t="n"/>
      <c r="D304" s="8">
        <f>IF(B304="","",IFERROR(INDEX(Товары!$F$2:$F$51,MATCH(B304,Товары!$A$2:$A$51,0)),""))</f>
        <v/>
      </c>
      <c r="E304" s="8">
        <f>IF(OR(B304="",D304=""),"",C304*D304)</f>
        <v/>
      </c>
      <c r="F304" s="8">
        <f>IF(B304="","",IFERROR(C304*INDEX(Товары!$J$2:$J$51,MATCH(B304,Товары!$A$2:$A$51,0)),""))</f>
        <v/>
      </c>
      <c r="G304" s="2">
        <f>IF(A304="","",YEAR(A304)&amp;"-"&amp;TEXT(MONTH(A304),"00"))</f>
        <v/>
      </c>
    </row>
    <row r="305">
      <c r="A305" s="2" t="n"/>
      <c r="B305" s="2" t="n"/>
      <c r="C305" s="2" t="n"/>
      <c r="D305" s="8">
        <f>IF(B305="","",IFERROR(INDEX(Товары!$F$2:$F$51,MATCH(B305,Товары!$A$2:$A$51,0)),""))</f>
        <v/>
      </c>
      <c r="E305" s="8">
        <f>IF(OR(B305="",D305=""),"",C305*D305)</f>
        <v/>
      </c>
      <c r="F305" s="8">
        <f>IF(B305="","",IFERROR(C305*INDEX(Товары!$J$2:$J$51,MATCH(B305,Товары!$A$2:$A$51,0)),""))</f>
        <v/>
      </c>
      <c r="G305" s="2">
        <f>IF(A305="","",YEAR(A305)&amp;"-"&amp;TEXT(MONTH(A305),"00"))</f>
        <v/>
      </c>
    </row>
    <row r="306">
      <c r="A306" s="2" t="n"/>
      <c r="B306" s="2" t="n"/>
      <c r="C306" s="2" t="n"/>
      <c r="D306" s="8">
        <f>IF(B306="","",IFERROR(INDEX(Товары!$F$2:$F$51,MATCH(B306,Товары!$A$2:$A$51,0)),""))</f>
        <v/>
      </c>
      <c r="E306" s="8">
        <f>IF(OR(B306="",D306=""),"",C306*D306)</f>
        <v/>
      </c>
      <c r="F306" s="8">
        <f>IF(B306="","",IFERROR(C306*INDEX(Товары!$J$2:$J$51,MATCH(B306,Товары!$A$2:$A$51,0)),""))</f>
        <v/>
      </c>
      <c r="G306" s="2">
        <f>IF(A306="","",YEAR(A306)&amp;"-"&amp;TEXT(MONTH(A306),"00"))</f>
        <v/>
      </c>
    </row>
    <row r="307">
      <c r="A307" s="2" t="n"/>
      <c r="B307" s="2" t="n"/>
      <c r="C307" s="2" t="n"/>
      <c r="D307" s="8">
        <f>IF(B307="","",IFERROR(INDEX(Товары!$F$2:$F$51,MATCH(B307,Товары!$A$2:$A$51,0)),""))</f>
        <v/>
      </c>
      <c r="E307" s="8">
        <f>IF(OR(B307="",D307=""),"",C307*D307)</f>
        <v/>
      </c>
      <c r="F307" s="8">
        <f>IF(B307="","",IFERROR(C307*INDEX(Товары!$J$2:$J$51,MATCH(B307,Товары!$A$2:$A$51,0)),""))</f>
        <v/>
      </c>
      <c r="G307" s="2">
        <f>IF(A307="","",YEAR(A307)&amp;"-"&amp;TEXT(MONTH(A307),"00"))</f>
        <v/>
      </c>
    </row>
    <row r="308">
      <c r="A308" s="2" t="n"/>
      <c r="B308" s="2" t="n"/>
      <c r="C308" s="2" t="n"/>
      <c r="D308" s="8">
        <f>IF(B308="","",IFERROR(INDEX(Товары!$F$2:$F$51,MATCH(B308,Товары!$A$2:$A$51,0)),""))</f>
        <v/>
      </c>
      <c r="E308" s="8">
        <f>IF(OR(B308="",D308=""),"",C308*D308)</f>
        <v/>
      </c>
      <c r="F308" s="8">
        <f>IF(B308="","",IFERROR(C308*INDEX(Товары!$J$2:$J$51,MATCH(B308,Товары!$A$2:$A$51,0)),""))</f>
        <v/>
      </c>
      <c r="G308" s="2">
        <f>IF(A308="","",YEAR(A308)&amp;"-"&amp;TEXT(MONTH(A308),"00"))</f>
        <v/>
      </c>
    </row>
    <row r="309">
      <c r="A309" s="2" t="n"/>
      <c r="B309" s="2" t="n"/>
      <c r="C309" s="2" t="n"/>
      <c r="D309" s="8">
        <f>IF(B309="","",IFERROR(INDEX(Товары!$F$2:$F$51,MATCH(B309,Товары!$A$2:$A$51,0)),""))</f>
        <v/>
      </c>
      <c r="E309" s="8">
        <f>IF(OR(B309="",D309=""),"",C309*D309)</f>
        <v/>
      </c>
      <c r="F309" s="8">
        <f>IF(B309="","",IFERROR(C309*INDEX(Товары!$J$2:$J$51,MATCH(B309,Товары!$A$2:$A$51,0)),""))</f>
        <v/>
      </c>
      <c r="G309" s="2">
        <f>IF(A309="","",YEAR(A309)&amp;"-"&amp;TEXT(MONTH(A309),"00"))</f>
        <v/>
      </c>
    </row>
    <row r="310">
      <c r="A310" s="2" t="n"/>
      <c r="B310" s="2" t="n"/>
      <c r="C310" s="2" t="n"/>
      <c r="D310" s="8">
        <f>IF(B310="","",IFERROR(INDEX(Товары!$F$2:$F$51,MATCH(B310,Товары!$A$2:$A$51,0)),""))</f>
        <v/>
      </c>
      <c r="E310" s="8">
        <f>IF(OR(B310="",D310=""),"",C310*D310)</f>
        <v/>
      </c>
      <c r="F310" s="8">
        <f>IF(B310="","",IFERROR(C310*INDEX(Товары!$J$2:$J$51,MATCH(B310,Товары!$A$2:$A$51,0)),""))</f>
        <v/>
      </c>
      <c r="G310" s="2">
        <f>IF(A310="","",YEAR(A310)&amp;"-"&amp;TEXT(MONTH(A310),"00"))</f>
        <v/>
      </c>
    </row>
    <row r="311">
      <c r="A311" s="2" t="n"/>
      <c r="B311" s="2" t="n"/>
      <c r="C311" s="2" t="n"/>
      <c r="D311" s="8">
        <f>IF(B311="","",IFERROR(INDEX(Товары!$F$2:$F$51,MATCH(B311,Товары!$A$2:$A$51,0)),""))</f>
        <v/>
      </c>
      <c r="E311" s="8">
        <f>IF(OR(B311="",D311=""),"",C311*D311)</f>
        <v/>
      </c>
      <c r="F311" s="8">
        <f>IF(B311="","",IFERROR(C311*INDEX(Товары!$J$2:$J$51,MATCH(B311,Товары!$A$2:$A$51,0)),""))</f>
        <v/>
      </c>
      <c r="G311" s="2">
        <f>IF(A311="","",YEAR(A311)&amp;"-"&amp;TEXT(MONTH(A311),"00"))</f>
        <v/>
      </c>
    </row>
    <row r="312">
      <c r="A312" s="2" t="n"/>
      <c r="B312" s="2" t="n"/>
      <c r="C312" s="2" t="n"/>
      <c r="D312" s="8">
        <f>IF(B312="","",IFERROR(INDEX(Товары!$F$2:$F$51,MATCH(B312,Товары!$A$2:$A$51,0)),""))</f>
        <v/>
      </c>
      <c r="E312" s="8">
        <f>IF(OR(B312="",D312=""),"",C312*D312)</f>
        <v/>
      </c>
      <c r="F312" s="8">
        <f>IF(B312="","",IFERROR(C312*INDEX(Товары!$J$2:$J$51,MATCH(B312,Товары!$A$2:$A$51,0)),""))</f>
        <v/>
      </c>
      <c r="G312" s="2">
        <f>IF(A312="","",YEAR(A312)&amp;"-"&amp;TEXT(MONTH(A312),"00"))</f>
        <v/>
      </c>
    </row>
    <row r="313">
      <c r="A313" s="2" t="n"/>
      <c r="B313" s="2" t="n"/>
      <c r="C313" s="2" t="n"/>
      <c r="D313" s="8">
        <f>IF(B313="","",IFERROR(INDEX(Товары!$F$2:$F$51,MATCH(B313,Товары!$A$2:$A$51,0)),""))</f>
        <v/>
      </c>
      <c r="E313" s="8">
        <f>IF(OR(B313="",D313=""),"",C313*D313)</f>
        <v/>
      </c>
      <c r="F313" s="8">
        <f>IF(B313="","",IFERROR(C313*INDEX(Товары!$J$2:$J$51,MATCH(B313,Товары!$A$2:$A$51,0)),""))</f>
        <v/>
      </c>
      <c r="G313" s="2">
        <f>IF(A313="","",YEAR(A313)&amp;"-"&amp;TEXT(MONTH(A313),"00"))</f>
        <v/>
      </c>
    </row>
    <row r="314">
      <c r="A314" s="2" t="n"/>
      <c r="B314" s="2" t="n"/>
      <c r="C314" s="2" t="n"/>
      <c r="D314" s="8">
        <f>IF(B314="","",IFERROR(INDEX(Товары!$F$2:$F$51,MATCH(B314,Товары!$A$2:$A$51,0)),""))</f>
        <v/>
      </c>
      <c r="E314" s="8">
        <f>IF(OR(B314="",D314=""),"",C314*D314)</f>
        <v/>
      </c>
      <c r="F314" s="8">
        <f>IF(B314="","",IFERROR(C314*INDEX(Товары!$J$2:$J$51,MATCH(B314,Товары!$A$2:$A$51,0)),""))</f>
        <v/>
      </c>
      <c r="G314" s="2">
        <f>IF(A314="","",YEAR(A314)&amp;"-"&amp;TEXT(MONTH(A314),"00"))</f>
        <v/>
      </c>
    </row>
    <row r="315">
      <c r="A315" s="2" t="n"/>
      <c r="B315" s="2" t="n"/>
      <c r="C315" s="2" t="n"/>
      <c r="D315" s="8">
        <f>IF(B315="","",IFERROR(INDEX(Товары!$F$2:$F$51,MATCH(B315,Товары!$A$2:$A$51,0)),""))</f>
        <v/>
      </c>
      <c r="E315" s="8">
        <f>IF(OR(B315="",D315=""),"",C315*D315)</f>
        <v/>
      </c>
      <c r="F315" s="8">
        <f>IF(B315="","",IFERROR(C315*INDEX(Товары!$J$2:$J$51,MATCH(B315,Товары!$A$2:$A$51,0)),""))</f>
        <v/>
      </c>
      <c r="G315" s="2">
        <f>IF(A315="","",YEAR(A315)&amp;"-"&amp;TEXT(MONTH(A315),"00"))</f>
        <v/>
      </c>
    </row>
    <row r="316">
      <c r="A316" s="2" t="n"/>
      <c r="B316" s="2" t="n"/>
      <c r="C316" s="2" t="n"/>
      <c r="D316" s="8">
        <f>IF(B316="","",IFERROR(INDEX(Товары!$F$2:$F$51,MATCH(B316,Товары!$A$2:$A$51,0)),""))</f>
        <v/>
      </c>
      <c r="E316" s="8">
        <f>IF(OR(B316="",D316=""),"",C316*D316)</f>
        <v/>
      </c>
      <c r="F316" s="8">
        <f>IF(B316="","",IFERROR(C316*INDEX(Товары!$J$2:$J$51,MATCH(B316,Товары!$A$2:$A$51,0)),""))</f>
        <v/>
      </c>
      <c r="G316" s="2">
        <f>IF(A316="","",YEAR(A316)&amp;"-"&amp;TEXT(MONTH(A316),"00"))</f>
        <v/>
      </c>
    </row>
    <row r="317">
      <c r="A317" s="2" t="n"/>
      <c r="B317" s="2" t="n"/>
      <c r="C317" s="2" t="n"/>
      <c r="D317" s="8">
        <f>IF(B317="","",IFERROR(INDEX(Товары!$F$2:$F$51,MATCH(B317,Товары!$A$2:$A$51,0)),""))</f>
        <v/>
      </c>
      <c r="E317" s="8">
        <f>IF(OR(B317="",D317=""),"",C317*D317)</f>
        <v/>
      </c>
      <c r="F317" s="8">
        <f>IF(B317="","",IFERROR(C317*INDEX(Товары!$J$2:$J$51,MATCH(B317,Товары!$A$2:$A$51,0)),""))</f>
        <v/>
      </c>
      <c r="G317" s="2">
        <f>IF(A317="","",YEAR(A317)&amp;"-"&amp;TEXT(MONTH(A317),"00"))</f>
        <v/>
      </c>
    </row>
    <row r="318">
      <c r="A318" s="2" t="n"/>
      <c r="B318" s="2" t="n"/>
      <c r="C318" s="2" t="n"/>
      <c r="D318" s="8">
        <f>IF(B318="","",IFERROR(INDEX(Товары!$F$2:$F$51,MATCH(B318,Товары!$A$2:$A$51,0)),""))</f>
        <v/>
      </c>
      <c r="E318" s="8">
        <f>IF(OR(B318="",D318=""),"",C318*D318)</f>
        <v/>
      </c>
      <c r="F318" s="8">
        <f>IF(B318="","",IFERROR(C318*INDEX(Товары!$J$2:$J$51,MATCH(B318,Товары!$A$2:$A$51,0)),""))</f>
        <v/>
      </c>
      <c r="G318" s="2">
        <f>IF(A318="","",YEAR(A318)&amp;"-"&amp;TEXT(MONTH(A318),"00"))</f>
        <v/>
      </c>
    </row>
    <row r="319">
      <c r="A319" s="2" t="n"/>
      <c r="B319" s="2" t="n"/>
      <c r="C319" s="2" t="n"/>
      <c r="D319" s="8">
        <f>IF(B319="","",IFERROR(INDEX(Товары!$F$2:$F$51,MATCH(B319,Товары!$A$2:$A$51,0)),""))</f>
        <v/>
      </c>
      <c r="E319" s="8">
        <f>IF(OR(B319="",D319=""),"",C319*D319)</f>
        <v/>
      </c>
      <c r="F319" s="8">
        <f>IF(B319="","",IFERROR(C319*INDEX(Товары!$J$2:$J$51,MATCH(B319,Товары!$A$2:$A$51,0)),""))</f>
        <v/>
      </c>
      <c r="G319" s="2">
        <f>IF(A319="","",YEAR(A319)&amp;"-"&amp;TEXT(MONTH(A319),"00"))</f>
        <v/>
      </c>
    </row>
    <row r="320">
      <c r="A320" s="2" t="n"/>
      <c r="B320" s="2" t="n"/>
      <c r="C320" s="2" t="n"/>
      <c r="D320" s="8">
        <f>IF(B320="","",IFERROR(INDEX(Товары!$F$2:$F$51,MATCH(B320,Товары!$A$2:$A$51,0)),""))</f>
        <v/>
      </c>
      <c r="E320" s="8">
        <f>IF(OR(B320="",D320=""),"",C320*D320)</f>
        <v/>
      </c>
      <c r="F320" s="8">
        <f>IF(B320="","",IFERROR(C320*INDEX(Товары!$J$2:$J$51,MATCH(B320,Товары!$A$2:$A$51,0)),""))</f>
        <v/>
      </c>
      <c r="G320" s="2">
        <f>IF(A320="","",YEAR(A320)&amp;"-"&amp;TEXT(MONTH(A320),"00"))</f>
        <v/>
      </c>
    </row>
    <row r="321">
      <c r="A321" s="2" t="n"/>
      <c r="B321" s="2" t="n"/>
      <c r="C321" s="2" t="n"/>
      <c r="D321" s="8">
        <f>IF(B321="","",IFERROR(INDEX(Товары!$F$2:$F$51,MATCH(B321,Товары!$A$2:$A$51,0)),""))</f>
        <v/>
      </c>
      <c r="E321" s="8">
        <f>IF(OR(B321="",D321=""),"",C321*D321)</f>
        <v/>
      </c>
      <c r="F321" s="8">
        <f>IF(B321="","",IFERROR(C321*INDEX(Товары!$J$2:$J$51,MATCH(B321,Товары!$A$2:$A$51,0)),""))</f>
        <v/>
      </c>
      <c r="G321" s="2">
        <f>IF(A321="","",YEAR(A321)&amp;"-"&amp;TEXT(MONTH(A321),"00"))</f>
        <v/>
      </c>
    </row>
    <row r="322">
      <c r="A322" s="2" t="n"/>
      <c r="B322" s="2" t="n"/>
      <c r="C322" s="2" t="n"/>
      <c r="D322" s="8">
        <f>IF(B322="","",IFERROR(INDEX(Товары!$F$2:$F$51,MATCH(B322,Товары!$A$2:$A$51,0)),""))</f>
        <v/>
      </c>
      <c r="E322" s="8">
        <f>IF(OR(B322="",D322=""),"",C322*D322)</f>
        <v/>
      </c>
      <c r="F322" s="8">
        <f>IF(B322="","",IFERROR(C322*INDEX(Товары!$J$2:$J$51,MATCH(B322,Товары!$A$2:$A$51,0)),""))</f>
        <v/>
      </c>
      <c r="G322" s="2">
        <f>IF(A322="","",YEAR(A322)&amp;"-"&amp;TEXT(MONTH(A322),"00"))</f>
        <v/>
      </c>
    </row>
    <row r="323">
      <c r="A323" s="2" t="n"/>
      <c r="B323" s="2" t="n"/>
      <c r="C323" s="2" t="n"/>
      <c r="D323" s="8">
        <f>IF(B323="","",IFERROR(INDEX(Товары!$F$2:$F$51,MATCH(B323,Товары!$A$2:$A$51,0)),""))</f>
        <v/>
      </c>
      <c r="E323" s="8">
        <f>IF(OR(B323="",D323=""),"",C323*D323)</f>
        <v/>
      </c>
      <c r="F323" s="8">
        <f>IF(B323="","",IFERROR(C323*INDEX(Товары!$J$2:$J$51,MATCH(B323,Товары!$A$2:$A$51,0)),""))</f>
        <v/>
      </c>
      <c r="G323" s="2">
        <f>IF(A323="","",YEAR(A323)&amp;"-"&amp;TEXT(MONTH(A323),"00"))</f>
        <v/>
      </c>
    </row>
    <row r="324">
      <c r="A324" s="2" t="n"/>
      <c r="B324" s="2" t="n"/>
      <c r="C324" s="2" t="n"/>
      <c r="D324" s="8">
        <f>IF(B324="","",IFERROR(INDEX(Товары!$F$2:$F$51,MATCH(B324,Товары!$A$2:$A$51,0)),""))</f>
        <v/>
      </c>
      <c r="E324" s="8">
        <f>IF(OR(B324="",D324=""),"",C324*D324)</f>
        <v/>
      </c>
      <c r="F324" s="8">
        <f>IF(B324="","",IFERROR(C324*INDEX(Товары!$J$2:$J$51,MATCH(B324,Товары!$A$2:$A$51,0)),""))</f>
        <v/>
      </c>
      <c r="G324" s="2">
        <f>IF(A324="","",YEAR(A324)&amp;"-"&amp;TEXT(MONTH(A324),"00"))</f>
        <v/>
      </c>
    </row>
    <row r="325">
      <c r="A325" s="2" t="n"/>
      <c r="B325" s="2" t="n"/>
      <c r="C325" s="2" t="n"/>
      <c r="D325" s="8">
        <f>IF(B325="","",IFERROR(INDEX(Товары!$F$2:$F$51,MATCH(B325,Товары!$A$2:$A$51,0)),""))</f>
        <v/>
      </c>
      <c r="E325" s="8">
        <f>IF(OR(B325="",D325=""),"",C325*D325)</f>
        <v/>
      </c>
      <c r="F325" s="8">
        <f>IF(B325="","",IFERROR(C325*INDEX(Товары!$J$2:$J$51,MATCH(B325,Товары!$A$2:$A$51,0)),""))</f>
        <v/>
      </c>
      <c r="G325" s="2">
        <f>IF(A325="","",YEAR(A325)&amp;"-"&amp;TEXT(MONTH(A325),"00"))</f>
        <v/>
      </c>
    </row>
    <row r="326">
      <c r="A326" s="2" t="n"/>
      <c r="B326" s="2" t="n"/>
      <c r="C326" s="2" t="n"/>
      <c r="D326" s="8">
        <f>IF(B326="","",IFERROR(INDEX(Товары!$F$2:$F$51,MATCH(B326,Товары!$A$2:$A$51,0)),""))</f>
        <v/>
      </c>
      <c r="E326" s="8">
        <f>IF(OR(B326="",D326=""),"",C326*D326)</f>
        <v/>
      </c>
      <c r="F326" s="8">
        <f>IF(B326="","",IFERROR(C326*INDEX(Товары!$J$2:$J$51,MATCH(B326,Товары!$A$2:$A$51,0)),""))</f>
        <v/>
      </c>
      <c r="G326" s="2">
        <f>IF(A326="","",YEAR(A326)&amp;"-"&amp;TEXT(MONTH(A326),"00"))</f>
        <v/>
      </c>
    </row>
    <row r="327">
      <c r="A327" s="2" t="n"/>
      <c r="B327" s="2" t="n"/>
      <c r="C327" s="2" t="n"/>
      <c r="D327" s="8">
        <f>IF(B327="","",IFERROR(INDEX(Товары!$F$2:$F$51,MATCH(B327,Товары!$A$2:$A$51,0)),""))</f>
        <v/>
      </c>
      <c r="E327" s="8">
        <f>IF(OR(B327="",D327=""),"",C327*D327)</f>
        <v/>
      </c>
      <c r="F327" s="8">
        <f>IF(B327="","",IFERROR(C327*INDEX(Товары!$J$2:$J$51,MATCH(B327,Товары!$A$2:$A$51,0)),""))</f>
        <v/>
      </c>
      <c r="G327" s="2">
        <f>IF(A327="","",YEAR(A327)&amp;"-"&amp;TEXT(MONTH(A327),"00"))</f>
        <v/>
      </c>
    </row>
    <row r="328">
      <c r="A328" s="2" t="n"/>
      <c r="B328" s="2" t="n"/>
      <c r="C328" s="2" t="n"/>
      <c r="D328" s="8">
        <f>IF(B328="","",IFERROR(INDEX(Товары!$F$2:$F$51,MATCH(B328,Товары!$A$2:$A$51,0)),""))</f>
        <v/>
      </c>
      <c r="E328" s="8">
        <f>IF(OR(B328="",D328=""),"",C328*D328)</f>
        <v/>
      </c>
      <c r="F328" s="8">
        <f>IF(B328="","",IFERROR(C328*INDEX(Товары!$J$2:$J$51,MATCH(B328,Товары!$A$2:$A$51,0)),""))</f>
        <v/>
      </c>
      <c r="G328" s="2">
        <f>IF(A328="","",YEAR(A328)&amp;"-"&amp;TEXT(MONTH(A328),"00"))</f>
        <v/>
      </c>
    </row>
    <row r="329">
      <c r="A329" s="2" t="n"/>
      <c r="B329" s="2" t="n"/>
      <c r="C329" s="2" t="n"/>
      <c r="D329" s="8">
        <f>IF(B329="","",IFERROR(INDEX(Товары!$F$2:$F$51,MATCH(B329,Товары!$A$2:$A$51,0)),""))</f>
        <v/>
      </c>
      <c r="E329" s="8">
        <f>IF(OR(B329="",D329=""),"",C329*D329)</f>
        <v/>
      </c>
      <c r="F329" s="8">
        <f>IF(B329="","",IFERROR(C329*INDEX(Товары!$J$2:$J$51,MATCH(B329,Товары!$A$2:$A$51,0)),""))</f>
        <v/>
      </c>
      <c r="G329" s="2">
        <f>IF(A329="","",YEAR(A329)&amp;"-"&amp;TEXT(MONTH(A329),"00"))</f>
        <v/>
      </c>
    </row>
    <row r="330">
      <c r="A330" s="2" t="n"/>
      <c r="B330" s="2" t="n"/>
      <c r="C330" s="2" t="n"/>
      <c r="D330" s="8">
        <f>IF(B330="","",IFERROR(INDEX(Товары!$F$2:$F$51,MATCH(B330,Товары!$A$2:$A$51,0)),""))</f>
        <v/>
      </c>
      <c r="E330" s="8">
        <f>IF(OR(B330="",D330=""),"",C330*D330)</f>
        <v/>
      </c>
      <c r="F330" s="8">
        <f>IF(B330="","",IFERROR(C330*INDEX(Товары!$J$2:$J$51,MATCH(B330,Товары!$A$2:$A$51,0)),""))</f>
        <v/>
      </c>
      <c r="G330" s="2">
        <f>IF(A330="","",YEAR(A330)&amp;"-"&amp;TEXT(MONTH(A330),"00"))</f>
        <v/>
      </c>
    </row>
    <row r="331">
      <c r="A331" s="2" t="n"/>
      <c r="B331" s="2" t="n"/>
      <c r="C331" s="2" t="n"/>
      <c r="D331" s="8">
        <f>IF(B331="","",IFERROR(INDEX(Товары!$F$2:$F$51,MATCH(B331,Товары!$A$2:$A$51,0)),""))</f>
        <v/>
      </c>
      <c r="E331" s="8">
        <f>IF(OR(B331="",D331=""),"",C331*D331)</f>
        <v/>
      </c>
      <c r="F331" s="8">
        <f>IF(B331="","",IFERROR(C331*INDEX(Товары!$J$2:$J$51,MATCH(B331,Товары!$A$2:$A$51,0)),""))</f>
        <v/>
      </c>
      <c r="G331" s="2">
        <f>IF(A331="","",YEAR(A331)&amp;"-"&amp;TEXT(MONTH(A331),"00"))</f>
        <v/>
      </c>
    </row>
    <row r="332">
      <c r="A332" s="2" t="n"/>
      <c r="B332" s="2" t="n"/>
      <c r="C332" s="2" t="n"/>
      <c r="D332" s="8">
        <f>IF(B332="","",IFERROR(INDEX(Товары!$F$2:$F$51,MATCH(B332,Товары!$A$2:$A$51,0)),""))</f>
        <v/>
      </c>
      <c r="E332" s="8">
        <f>IF(OR(B332="",D332=""),"",C332*D332)</f>
        <v/>
      </c>
      <c r="F332" s="8">
        <f>IF(B332="","",IFERROR(C332*INDEX(Товары!$J$2:$J$51,MATCH(B332,Товары!$A$2:$A$51,0)),""))</f>
        <v/>
      </c>
      <c r="G332" s="2">
        <f>IF(A332="","",YEAR(A332)&amp;"-"&amp;TEXT(MONTH(A332),"00"))</f>
        <v/>
      </c>
    </row>
    <row r="333">
      <c r="A333" s="2" t="n"/>
      <c r="B333" s="2" t="n"/>
      <c r="C333" s="2" t="n"/>
      <c r="D333" s="8">
        <f>IF(B333="","",IFERROR(INDEX(Товары!$F$2:$F$51,MATCH(B333,Товары!$A$2:$A$51,0)),""))</f>
        <v/>
      </c>
      <c r="E333" s="8">
        <f>IF(OR(B333="",D333=""),"",C333*D333)</f>
        <v/>
      </c>
      <c r="F333" s="8">
        <f>IF(B333="","",IFERROR(C333*INDEX(Товары!$J$2:$J$51,MATCH(B333,Товары!$A$2:$A$51,0)),""))</f>
        <v/>
      </c>
      <c r="G333" s="2">
        <f>IF(A333="","",YEAR(A333)&amp;"-"&amp;TEXT(MONTH(A333),"00"))</f>
        <v/>
      </c>
    </row>
    <row r="334">
      <c r="A334" s="2" t="n"/>
      <c r="B334" s="2" t="n"/>
      <c r="C334" s="2" t="n"/>
      <c r="D334" s="8">
        <f>IF(B334="","",IFERROR(INDEX(Товары!$F$2:$F$51,MATCH(B334,Товары!$A$2:$A$51,0)),""))</f>
        <v/>
      </c>
      <c r="E334" s="8">
        <f>IF(OR(B334="",D334=""),"",C334*D334)</f>
        <v/>
      </c>
      <c r="F334" s="8">
        <f>IF(B334="","",IFERROR(C334*INDEX(Товары!$J$2:$J$51,MATCH(B334,Товары!$A$2:$A$51,0)),""))</f>
        <v/>
      </c>
      <c r="G334" s="2">
        <f>IF(A334="","",YEAR(A334)&amp;"-"&amp;TEXT(MONTH(A334),"00"))</f>
        <v/>
      </c>
    </row>
    <row r="335">
      <c r="A335" s="2" t="n"/>
      <c r="B335" s="2" t="n"/>
      <c r="C335" s="2" t="n"/>
      <c r="D335" s="8">
        <f>IF(B335="","",IFERROR(INDEX(Товары!$F$2:$F$51,MATCH(B335,Товары!$A$2:$A$51,0)),""))</f>
        <v/>
      </c>
      <c r="E335" s="8">
        <f>IF(OR(B335="",D335=""),"",C335*D335)</f>
        <v/>
      </c>
      <c r="F335" s="8">
        <f>IF(B335="","",IFERROR(C335*INDEX(Товары!$J$2:$J$51,MATCH(B335,Товары!$A$2:$A$51,0)),""))</f>
        <v/>
      </c>
      <c r="G335" s="2">
        <f>IF(A335="","",YEAR(A335)&amp;"-"&amp;TEXT(MONTH(A335),"00"))</f>
        <v/>
      </c>
    </row>
    <row r="336">
      <c r="A336" s="2" t="n"/>
      <c r="B336" s="2" t="n"/>
      <c r="C336" s="2" t="n"/>
      <c r="D336" s="8">
        <f>IF(B336="","",IFERROR(INDEX(Товары!$F$2:$F$51,MATCH(B336,Товары!$A$2:$A$51,0)),""))</f>
        <v/>
      </c>
      <c r="E336" s="8">
        <f>IF(OR(B336="",D336=""),"",C336*D336)</f>
        <v/>
      </c>
      <c r="F336" s="8">
        <f>IF(B336="","",IFERROR(C336*INDEX(Товары!$J$2:$J$51,MATCH(B336,Товары!$A$2:$A$51,0)),""))</f>
        <v/>
      </c>
      <c r="G336" s="2">
        <f>IF(A336="","",YEAR(A336)&amp;"-"&amp;TEXT(MONTH(A336),"00"))</f>
        <v/>
      </c>
    </row>
    <row r="337">
      <c r="A337" s="2" t="n"/>
      <c r="B337" s="2" t="n"/>
      <c r="C337" s="2" t="n"/>
      <c r="D337" s="8">
        <f>IF(B337="","",IFERROR(INDEX(Товары!$F$2:$F$51,MATCH(B337,Товары!$A$2:$A$51,0)),""))</f>
        <v/>
      </c>
      <c r="E337" s="8">
        <f>IF(OR(B337="",D337=""),"",C337*D337)</f>
        <v/>
      </c>
      <c r="F337" s="8">
        <f>IF(B337="","",IFERROR(C337*INDEX(Товары!$J$2:$J$51,MATCH(B337,Товары!$A$2:$A$51,0)),""))</f>
        <v/>
      </c>
      <c r="G337" s="2">
        <f>IF(A337="","",YEAR(A337)&amp;"-"&amp;TEXT(MONTH(A337),"00"))</f>
        <v/>
      </c>
    </row>
    <row r="338">
      <c r="A338" s="2" t="n"/>
      <c r="B338" s="2" t="n"/>
      <c r="C338" s="2" t="n"/>
      <c r="D338" s="8">
        <f>IF(B338="","",IFERROR(INDEX(Товары!$F$2:$F$51,MATCH(B338,Товары!$A$2:$A$51,0)),""))</f>
        <v/>
      </c>
      <c r="E338" s="8">
        <f>IF(OR(B338="",D338=""),"",C338*D338)</f>
        <v/>
      </c>
      <c r="F338" s="8">
        <f>IF(B338="","",IFERROR(C338*INDEX(Товары!$J$2:$J$51,MATCH(B338,Товары!$A$2:$A$51,0)),""))</f>
        <v/>
      </c>
      <c r="G338" s="2">
        <f>IF(A338="","",YEAR(A338)&amp;"-"&amp;TEXT(MONTH(A338),"00"))</f>
        <v/>
      </c>
    </row>
    <row r="339">
      <c r="A339" s="2" t="n"/>
      <c r="B339" s="2" t="n"/>
      <c r="C339" s="2" t="n"/>
      <c r="D339" s="8">
        <f>IF(B339="","",IFERROR(INDEX(Товары!$F$2:$F$51,MATCH(B339,Товары!$A$2:$A$51,0)),""))</f>
        <v/>
      </c>
      <c r="E339" s="8">
        <f>IF(OR(B339="",D339=""),"",C339*D339)</f>
        <v/>
      </c>
      <c r="F339" s="8">
        <f>IF(B339="","",IFERROR(C339*INDEX(Товары!$J$2:$J$51,MATCH(B339,Товары!$A$2:$A$51,0)),""))</f>
        <v/>
      </c>
      <c r="G339" s="2">
        <f>IF(A339="","",YEAR(A339)&amp;"-"&amp;TEXT(MONTH(A339),"00"))</f>
        <v/>
      </c>
    </row>
    <row r="340">
      <c r="A340" s="2" t="n"/>
      <c r="B340" s="2" t="n"/>
      <c r="C340" s="2" t="n"/>
      <c r="D340" s="8">
        <f>IF(B340="","",IFERROR(INDEX(Товары!$F$2:$F$51,MATCH(B340,Товары!$A$2:$A$51,0)),""))</f>
        <v/>
      </c>
      <c r="E340" s="8">
        <f>IF(OR(B340="",D340=""),"",C340*D340)</f>
        <v/>
      </c>
      <c r="F340" s="8">
        <f>IF(B340="","",IFERROR(C340*INDEX(Товары!$J$2:$J$51,MATCH(B340,Товары!$A$2:$A$51,0)),""))</f>
        <v/>
      </c>
      <c r="G340" s="2">
        <f>IF(A340="","",YEAR(A340)&amp;"-"&amp;TEXT(MONTH(A340),"00"))</f>
        <v/>
      </c>
    </row>
    <row r="341">
      <c r="A341" s="2" t="n"/>
      <c r="B341" s="2" t="n"/>
      <c r="C341" s="2" t="n"/>
      <c r="D341" s="8">
        <f>IF(B341="","",IFERROR(INDEX(Товары!$F$2:$F$51,MATCH(B341,Товары!$A$2:$A$51,0)),""))</f>
        <v/>
      </c>
      <c r="E341" s="8">
        <f>IF(OR(B341="",D341=""),"",C341*D341)</f>
        <v/>
      </c>
      <c r="F341" s="8">
        <f>IF(B341="","",IFERROR(C341*INDEX(Товары!$J$2:$J$51,MATCH(B341,Товары!$A$2:$A$51,0)),""))</f>
        <v/>
      </c>
      <c r="G341" s="2">
        <f>IF(A341="","",YEAR(A341)&amp;"-"&amp;TEXT(MONTH(A341),"00"))</f>
        <v/>
      </c>
    </row>
    <row r="342">
      <c r="A342" s="2" t="n"/>
      <c r="B342" s="2" t="n"/>
      <c r="C342" s="2" t="n"/>
      <c r="D342" s="8">
        <f>IF(B342="","",IFERROR(INDEX(Товары!$F$2:$F$51,MATCH(B342,Товары!$A$2:$A$51,0)),""))</f>
        <v/>
      </c>
      <c r="E342" s="8">
        <f>IF(OR(B342="",D342=""),"",C342*D342)</f>
        <v/>
      </c>
      <c r="F342" s="8">
        <f>IF(B342="","",IFERROR(C342*INDEX(Товары!$J$2:$J$51,MATCH(B342,Товары!$A$2:$A$51,0)),""))</f>
        <v/>
      </c>
      <c r="G342" s="2">
        <f>IF(A342="","",YEAR(A342)&amp;"-"&amp;TEXT(MONTH(A342),"00"))</f>
        <v/>
      </c>
    </row>
    <row r="343">
      <c r="A343" s="2" t="n"/>
      <c r="B343" s="2" t="n"/>
      <c r="C343" s="2" t="n"/>
      <c r="D343" s="8">
        <f>IF(B343="","",IFERROR(INDEX(Товары!$F$2:$F$51,MATCH(B343,Товары!$A$2:$A$51,0)),""))</f>
        <v/>
      </c>
      <c r="E343" s="8">
        <f>IF(OR(B343="",D343=""),"",C343*D343)</f>
        <v/>
      </c>
      <c r="F343" s="8">
        <f>IF(B343="","",IFERROR(C343*INDEX(Товары!$J$2:$J$51,MATCH(B343,Товары!$A$2:$A$51,0)),""))</f>
        <v/>
      </c>
      <c r="G343" s="2">
        <f>IF(A343="","",YEAR(A343)&amp;"-"&amp;TEXT(MONTH(A343),"00"))</f>
        <v/>
      </c>
    </row>
    <row r="344">
      <c r="A344" s="2" t="n"/>
      <c r="B344" s="2" t="n"/>
      <c r="C344" s="2" t="n"/>
      <c r="D344" s="8">
        <f>IF(B344="","",IFERROR(INDEX(Товары!$F$2:$F$51,MATCH(B344,Товары!$A$2:$A$51,0)),""))</f>
        <v/>
      </c>
      <c r="E344" s="8">
        <f>IF(OR(B344="",D344=""),"",C344*D344)</f>
        <v/>
      </c>
      <c r="F344" s="8">
        <f>IF(B344="","",IFERROR(C344*INDEX(Товары!$J$2:$J$51,MATCH(B344,Товары!$A$2:$A$51,0)),""))</f>
        <v/>
      </c>
      <c r="G344" s="2">
        <f>IF(A344="","",YEAR(A344)&amp;"-"&amp;TEXT(MONTH(A344),"00"))</f>
        <v/>
      </c>
    </row>
    <row r="345">
      <c r="A345" s="2" t="n"/>
      <c r="B345" s="2" t="n"/>
      <c r="C345" s="2" t="n"/>
      <c r="D345" s="8">
        <f>IF(B345="","",IFERROR(INDEX(Товары!$F$2:$F$51,MATCH(B345,Товары!$A$2:$A$51,0)),""))</f>
        <v/>
      </c>
      <c r="E345" s="8">
        <f>IF(OR(B345="",D345=""),"",C345*D345)</f>
        <v/>
      </c>
      <c r="F345" s="8">
        <f>IF(B345="","",IFERROR(C345*INDEX(Товары!$J$2:$J$51,MATCH(B345,Товары!$A$2:$A$51,0)),""))</f>
        <v/>
      </c>
      <c r="G345" s="2">
        <f>IF(A345="","",YEAR(A345)&amp;"-"&amp;TEXT(MONTH(A345),"00"))</f>
        <v/>
      </c>
    </row>
    <row r="346">
      <c r="A346" s="2" t="n"/>
      <c r="B346" s="2" t="n"/>
      <c r="C346" s="2" t="n"/>
      <c r="D346" s="8">
        <f>IF(B346="","",IFERROR(INDEX(Товары!$F$2:$F$51,MATCH(B346,Товары!$A$2:$A$51,0)),""))</f>
        <v/>
      </c>
      <c r="E346" s="8">
        <f>IF(OR(B346="",D346=""),"",C346*D346)</f>
        <v/>
      </c>
      <c r="F346" s="8">
        <f>IF(B346="","",IFERROR(C346*INDEX(Товары!$J$2:$J$51,MATCH(B346,Товары!$A$2:$A$51,0)),""))</f>
        <v/>
      </c>
      <c r="G346" s="2">
        <f>IF(A346="","",YEAR(A346)&amp;"-"&amp;TEXT(MONTH(A346),"00"))</f>
        <v/>
      </c>
    </row>
    <row r="347">
      <c r="A347" s="2" t="n"/>
      <c r="B347" s="2" t="n"/>
      <c r="C347" s="2" t="n"/>
      <c r="D347" s="8">
        <f>IF(B347="","",IFERROR(INDEX(Товары!$F$2:$F$51,MATCH(B347,Товары!$A$2:$A$51,0)),""))</f>
        <v/>
      </c>
      <c r="E347" s="8">
        <f>IF(OR(B347="",D347=""),"",C347*D347)</f>
        <v/>
      </c>
      <c r="F347" s="8">
        <f>IF(B347="","",IFERROR(C347*INDEX(Товары!$J$2:$J$51,MATCH(B347,Товары!$A$2:$A$51,0)),""))</f>
        <v/>
      </c>
      <c r="G347" s="2">
        <f>IF(A347="","",YEAR(A347)&amp;"-"&amp;TEXT(MONTH(A347),"00"))</f>
        <v/>
      </c>
    </row>
    <row r="348">
      <c r="A348" s="2" t="n"/>
      <c r="B348" s="2" t="n"/>
      <c r="C348" s="2" t="n"/>
      <c r="D348" s="8">
        <f>IF(B348="","",IFERROR(INDEX(Товары!$F$2:$F$51,MATCH(B348,Товары!$A$2:$A$51,0)),""))</f>
        <v/>
      </c>
      <c r="E348" s="8">
        <f>IF(OR(B348="",D348=""),"",C348*D348)</f>
        <v/>
      </c>
      <c r="F348" s="8">
        <f>IF(B348="","",IFERROR(C348*INDEX(Товары!$J$2:$J$51,MATCH(B348,Товары!$A$2:$A$51,0)),""))</f>
        <v/>
      </c>
      <c r="G348" s="2">
        <f>IF(A348="","",YEAR(A348)&amp;"-"&amp;TEXT(MONTH(A348),"00"))</f>
        <v/>
      </c>
    </row>
    <row r="349">
      <c r="A349" s="2" t="n"/>
      <c r="B349" s="2" t="n"/>
      <c r="C349" s="2" t="n"/>
      <c r="D349" s="8">
        <f>IF(B349="","",IFERROR(INDEX(Товары!$F$2:$F$51,MATCH(B349,Товары!$A$2:$A$51,0)),""))</f>
        <v/>
      </c>
      <c r="E349" s="8">
        <f>IF(OR(B349="",D349=""),"",C349*D349)</f>
        <v/>
      </c>
      <c r="F349" s="8">
        <f>IF(B349="","",IFERROR(C349*INDEX(Товары!$J$2:$J$51,MATCH(B349,Товары!$A$2:$A$51,0)),""))</f>
        <v/>
      </c>
      <c r="G349" s="2">
        <f>IF(A349="","",YEAR(A349)&amp;"-"&amp;TEXT(MONTH(A349),"00"))</f>
        <v/>
      </c>
    </row>
    <row r="350">
      <c r="A350" s="2" t="n"/>
      <c r="B350" s="2" t="n"/>
      <c r="C350" s="2" t="n"/>
      <c r="D350" s="8">
        <f>IF(B350="","",IFERROR(INDEX(Товары!$F$2:$F$51,MATCH(B350,Товары!$A$2:$A$51,0)),""))</f>
        <v/>
      </c>
      <c r="E350" s="8">
        <f>IF(OR(B350="",D350=""),"",C350*D350)</f>
        <v/>
      </c>
      <c r="F350" s="8">
        <f>IF(B350="","",IFERROR(C350*INDEX(Товары!$J$2:$J$51,MATCH(B350,Товары!$A$2:$A$51,0)),""))</f>
        <v/>
      </c>
      <c r="G350" s="2">
        <f>IF(A350="","",YEAR(A350)&amp;"-"&amp;TEXT(MONTH(A350),"00"))</f>
        <v/>
      </c>
    </row>
    <row r="351">
      <c r="A351" s="2" t="n"/>
      <c r="B351" s="2" t="n"/>
      <c r="C351" s="2" t="n"/>
      <c r="D351" s="8">
        <f>IF(B351="","",IFERROR(INDEX(Товары!$F$2:$F$51,MATCH(B351,Товары!$A$2:$A$51,0)),""))</f>
        <v/>
      </c>
      <c r="E351" s="8">
        <f>IF(OR(B351="",D351=""),"",C351*D351)</f>
        <v/>
      </c>
      <c r="F351" s="8">
        <f>IF(B351="","",IFERROR(C351*INDEX(Товары!$J$2:$J$51,MATCH(B351,Товары!$A$2:$A$51,0)),""))</f>
        <v/>
      </c>
      <c r="G351" s="2">
        <f>IF(A351="","",YEAR(A351)&amp;"-"&amp;TEXT(MONTH(A351),"00"))</f>
        <v/>
      </c>
    </row>
    <row r="352">
      <c r="A352" s="2" t="n"/>
      <c r="B352" s="2" t="n"/>
      <c r="C352" s="2" t="n"/>
      <c r="D352" s="8">
        <f>IF(B352="","",IFERROR(INDEX(Товары!$F$2:$F$51,MATCH(B352,Товары!$A$2:$A$51,0)),""))</f>
        <v/>
      </c>
      <c r="E352" s="8">
        <f>IF(OR(B352="",D352=""),"",C352*D352)</f>
        <v/>
      </c>
      <c r="F352" s="8">
        <f>IF(B352="","",IFERROR(C352*INDEX(Товары!$J$2:$J$51,MATCH(B352,Товары!$A$2:$A$51,0)),""))</f>
        <v/>
      </c>
      <c r="G352" s="2">
        <f>IF(A352="","",YEAR(A352)&amp;"-"&amp;TEXT(MONTH(A352),"00"))</f>
        <v/>
      </c>
    </row>
    <row r="353">
      <c r="A353" s="2" t="n"/>
      <c r="B353" s="2" t="n"/>
      <c r="C353" s="2" t="n"/>
      <c r="D353" s="8">
        <f>IF(B353="","",IFERROR(INDEX(Товары!$F$2:$F$51,MATCH(B353,Товары!$A$2:$A$51,0)),""))</f>
        <v/>
      </c>
      <c r="E353" s="8">
        <f>IF(OR(B353="",D353=""),"",C353*D353)</f>
        <v/>
      </c>
      <c r="F353" s="8">
        <f>IF(B353="","",IFERROR(C353*INDEX(Товары!$J$2:$J$51,MATCH(B353,Товары!$A$2:$A$51,0)),""))</f>
        <v/>
      </c>
      <c r="G353" s="2">
        <f>IF(A353="","",YEAR(A353)&amp;"-"&amp;TEXT(MONTH(A353),"00"))</f>
        <v/>
      </c>
    </row>
    <row r="354">
      <c r="A354" s="2" t="n"/>
      <c r="B354" s="2" t="n"/>
      <c r="C354" s="2" t="n"/>
      <c r="D354" s="8">
        <f>IF(B354="","",IFERROR(INDEX(Товары!$F$2:$F$51,MATCH(B354,Товары!$A$2:$A$51,0)),""))</f>
        <v/>
      </c>
      <c r="E354" s="8">
        <f>IF(OR(B354="",D354=""),"",C354*D354)</f>
        <v/>
      </c>
      <c r="F354" s="8">
        <f>IF(B354="","",IFERROR(C354*INDEX(Товары!$J$2:$J$51,MATCH(B354,Товары!$A$2:$A$51,0)),""))</f>
        <v/>
      </c>
      <c r="G354" s="2">
        <f>IF(A354="","",YEAR(A354)&amp;"-"&amp;TEXT(MONTH(A354),"00"))</f>
        <v/>
      </c>
    </row>
    <row r="355">
      <c r="A355" s="2" t="n"/>
      <c r="B355" s="2" t="n"/>
      <c r="C355" s="2" t="n"/>
      <c r="D355" s="8">
        <f>IF(B355="","",IFERROR(INDEX(Товары!$F$2:$F$51,MATCH(B355,Товары!$A$2:$A$51,0)),""))</f>
        <v/>
      </c>
      <c r="E355" s="8">
        <f>IF(OR(B355="",D355=""),"",C355*D355)</f>
        <v/>
      </c>
      <c r="F355" s="8">
        <f>IF(B355="","",IFERROR(C355*INDEX(Товары!$J$2:$J$51,MATCH(B355,Товары!$A$2:$A$51,0)),""))</f>
        <v/>
      </c>
      <c r="G355" s="2">
        <f>IF(A355="","",YEAR(A355)&amp;"-"&amp;TEXT(MONTH(A355),"00"))</f>
        <v/>
      </c>
    </row>
    <row r="356">
      <c r="A356" s="2" t="n"/>
      <c r="B356" s="2" t="n"/>
      <c r="C356" s="2" t="n"/>
      <c r="D356" s="8">
        <f>IF(B356="","",IFERROR(INDEX(Товары!$F$2:$F$51,MATCH(B356,Товары!$A$2:$A$51,0)),""))</f>
        <v/>
      </c>
      <c r="E356" s="8">
        <f>IF(OR(B356="",D356=""),"",C356*D356)</f>
        <v/>
      </c>
      <c r="F356" s="8">
        <f>IF(B356="","",IFERROR(C356*INDEX(Товары!$J$2:$J$51,MATCH(B356,Товары!$A$2:$A$51,0)),""))</f>
        <v/>
      </c>
      <c r="G356" s="2">
        <f>IF(A356="","",YEAR(A356)&amp;"-"&amp;TEXT(MONTH(A356),"00"))</f>
        <v/>
      </c>
    </row>
    <row r="357">
      <c r="A357" s="2" t="n"/>
      <c r="B357" s="2" t="n"/>
      <c r="C357" s="2" t="n"/>
      <c r="D357" s="8">
        <f>IF(B357="","",IFERROR(INDEX(Товары!$F$2:$F$51,MATCH(B357,Товары!$A$2:$A$51,0)),""))</f>
        <v/>
      </c>
      <c r="E357" s="8">
        <f>IF(OR(B357="",D357=""),"",C357*D357)</f>
        <v/>
      </c>
      <c r="F357" s="8">
        <f>IF(B357="","",IFERROR(C357*INDEX(Товары!$J$2:$J$51,MATCH(B357,Товары!$A$2:$A$51,0)),""))</f>
        <v/>
      </c>
      <c r="G357" s="2">
        <f>IF(A357="","",YEAR(A357)&amp;"-"&amp;TEXT(MONTH(A357),"00"))</f>
        <v/>
      </c>
    </row>
    <row r="358">
      <c r="A358" s="2" t="n"/>
      <c r="B358" s="2" t="n"/>
      <c r="C358" s="2" t="n"/>
      <c r="D358" s="8">
        <f>IF(B358="","",IFERROR(INDEX(Товары!$F$2:$F$51,MATCH(B358,Товары!$A$2:$A$51,0)),""))</f>
        <v/>
      </c>
      <c r="E358" s="8">
        <f>IF(OR(B358="",D358=""),"",C358*D358)</f>
        <v/>
      </c>
      <c r="F358" s="8">
        <f>IF(B358="","",IFERROR(C358*INDEX(Товары!$J$2:$J$51,MATCH(B358,Товары!$A$2:$A$51,0)),""))</f>
        <v/>
      </c>
      <c r="G358" s="2">
        <f>IF(A358="","",YEAR(A358)&amp;"-"&amp;TEXT(MONTH(A358),"00"))</f>
        <v/>
      </c>
    </row>
    <row r="359">
      <c r="A359" s="2" t="n"/>
      <c r="B359" s="2" t="n"/>
      <c r="C359" s="2" t="n"/>
      <c r="D359" s="8">
        <f>IF(B359="","",IFERROR(INDEX(Товары!$F$2:$F$51,MATCH(B359,Товары!$A$2:$A$51,0)),""))</f>
        <v/>
      </c>
      <c r="E359" s="8">
        <f>IF(OR(B359="",D359=""),"",C359*D359)</f>
        <v/>
      </c>
      <c r="F359" s="8">
        <f>IF(B359="","",IFERROR(C359*INDEX(Товары!$J$2:$J$51,MATCH(B359,Товары!$A$2:$A$51,0)),""))</f>
        <v/>
      </c>
      <c r="G359" s="2">
        <f>IF(A359="","",YEAR(A359)&amp;"-"&amp;TEXT(MONTH(A359),"00"))</f>
        <v/>
      </c>
    </row>
    <row r="360">
      <c r="A360" s="2" t="n"/>
      <c r="B360" s="2" t="n"/>
      <c r="C360" s="2" t="n"/>
      <c r="D360" s="8">
        <f>IF(B360="","",IFERROR(INDEX(Товары!$F$2:$F$51,MATCH(B360,Товары!$A$2:$A$51,0)),""))</f>
        <v/>
      </c>
      <c r="E360" s="8">
        <f>IF(OR(B360="",D360=""),"",C360*D360)</f>
        <v/>
      </c>
      <c r="F360" s="8">
        <f>IF(B360="","",IFERROR(C360*INDEX(Товары!$J$2:$J$51,MATCH(B360,Товары!$A$2:$A$51,0)),""))</f>
        <v/>
      </c>
      <c r="G360" s="2">
        <f>IF(A360="","",YEAR(A360)&amp;"-"&amp;TEXT(MONTH(A360),"00"))</f>
        <v/>
      </c>
    </row>
    <row r="361">
      <c r="A361" s="2" t="n"/>
      <c r="B361" s="2" t="n"/>
      <c r="C361" s="2" t="n"/>
      <c r="D361" s="8">
        <f>IF(B361="","",IFERROR(INDEX(Товары!$F$2:$F$51,MATCH(B361,Товары!$A$2:$A$51,0)),""))</f>
        <v/>
      </c>
      <c r="E361" s="8">
        <f>IF(OR(B361="",D361=""),"",C361*D361)</f>
        <v/>
      </c>
      <c r="F361" s="8">
        <f>IF(B361="","",IFERROR(C361*INDEX(Товары!$J$2:$J$51,MATCH(B361,Товары!$A$2:$A$51,0)),""))</f>
        <v/>
      </c>
      <c r="G361" s="2">
        <f>IF(A361="","",YEAR(A361)&amp;"-"&amp;TEXT(MONTH(A361),"00"))</f>
        <v/>
      </c>
    </row>
    <row r="362">
      <c r="A362" s="2" t="n"/>
      <c r="B362" s="2" t="n"/>
      <c r="C362" s="2" t="n"/>
      <c r="D362" s="8">
        <f>IF(B362="","",IFERROR(INDEX(Товары!$F$2:$F$51,MATCH(B362,Товары!$A$2:$A$51,0)),""))</f>
        <v/>
      </c>
      <c r="E362" s="8">
        <f>IF(OR(B362="",D362=""),"",C362*D362)</f>
        <v/>
      </c>
      <c r="F362" s="8">
        <f>IF(B362="","",IFERROR(C362*INDEX(Товары!$J$2:$J$51,MATCH(B362,Товары!$A$2:$A$51,0)),""))</f>
        <v/>
      </c>
      <c r="G362" s="2">
        <f>IF(A362="","",YEAR(A362)&amp;"-"&amp;TEXT(MONTH(A362),"00"))</f>
        <v/>
      </c>
    </row>
    <row r="363">
      <c r="A363" s="2" t="n"/>
      <c r="B363" s="2" t="n"/>
      <c r="C363" s="2" t="n"/>
      <c r="D363" s="8">
        <f>IF(B363="","",IFERROR(INDEX(Товары!$F$2:$F$51,MATCH(B363,Товары!$A$2:$A$51,0)),""))</f>
        <v/>
      </c>
      <c r="E363" s="8">
        <f>IF(OR(B363="",D363=""),"",C363*D363)</f>
        <v/>
      </c>
      <c r="F363" s="8">
        <f>IF(B363="","",IFERROR(C363*INDEX(Товары!$J$2:$J$51,MATCH(B363,Товары!$A$2:$A$51,0)),""))</f>
        <v/>
      </c>
      <c r="G363" s="2">
        <f>IF(A363="","",YEAR(A363)&amp;"-"&amp;TEXT(MONTH(A363),"00"))</f>
        <v/>
      </c>
    </row>
    <row r="364">
      <c r="A364" s="2" t="n"/>
      <c r="B364" s="2" t="n"/>
      <c r="C364" s="2" t="n"/>
      <c r="D364" s="8">
        <f>IF(B364="","",IFERROR(INDEX(Товары!$F$2:$F$51,MATCH(B364,Товары!$A$2:$A$51,0)),""))</f>
        <v/>
      </c>
      <c r="E364" s="8">
        <f>IF(OR(B364="",D364=""),"",C364*D364)</f>
        <v/>
      </c>
      <c r="F364" s="8">
        <f>IF(B364="","",IFERROR(C364*INDEX(Товары!$J$2:$J$51,MATCH(B364,Товары!$A$2:$A$51,0)),""))</f>
        <v/>
      </c>
      <c r="G364" s="2">
        <f>IF(A364="","",YEAR(A364)&amp;"-"&amp;TEXT(MONTH(A364),"00"))</f>
        <v/>
      </c>
    </row>
    <row r="365">
      <c r="A365" s="2" t="n"/>
      <c r="B365" s="2" t="n"/>
      <c r="C365" s="2" t="n"/>
      <c r="D365" s="8">
        <f>IF(B365="","",IFERROR(INDEX(Товары!$F$2:$F$51,MATCH(B365,Товары!$A$2:$A$51,0)),""))</f>
        <v/>
      </c>
      <c r="E365" s="8">
        <f>IF(OR(B365="",D365=""),"",C365*D365)</f>
        <v/>
      </c>
      <c r="F365" s="8">
        <f>IF(B365="","",IFERROR(C365*INDEX(Товары!$J$2:$J$51,MATCH(B365,Товары!$A$2:$A$51,0)),""))</f>
        <v/>
      </c>
      <c r="G365" s="2">
        <f>IF(A365="","",YEAR(A365)&amp;"-"&amp;TEXT(MONTH(A365),"00"))</f>
        <v/>
      </c>
    </row>
    <row r="366">
      <c r="A366" s="2" t="n"/>
      <c r="B366" s="2" t="n"/>
      <c r="C366" s="2" t="n"/>
      <c r="D366" s="8">
        <f>IF(B366="","",IFERROR(INDEX(Товары!$F$2:$F$51,MATCH(B366,Товары!$A$2:$A$51,0)),""))</f>
        <v/>
      </c>
      <c r="E366" s="8">
        <f>IF(OR(B366="",D366=""),"",C366*D366)</f>
        <v/>
      </c>
      <c r="F366" s="8">
        <f>IF(B366="","",IFERROR(C366*INDEX(Товары!$J$2:$J$51,MATCH(B366,Товары!$A$2:$A$51,0)),""))</f>
        <v/>
      </c>
      <c r="G366" s="2">
        <f>IF(A366="","",YEAR(A366)&amp;"-"&amp;TEXT(MONTH(A366),"00"))</f>
        <v/>
      </c>
    </row>
    <row r="367">
      <c r="A367" s="2" t="n"/>
      <c r="B367" s="2" t="n"/>
      <c r="C367" s="2" t="n"/>
      <c r="D367" s="8">
        <f>IF(B367="","",IFERROR(INDEX(Товары!$F$2:$F$51,MATCH(B367,Товары!$A$2:$A$51,0)),""))</f>
        <v/>
      </c>
      <c r="E367" s="8">
        <f>IF(OR(B367="",D367=""),"",C367*D367)</f>
        <v/>
      </c>
      <c r="F367" s="8">
        <f>IF(B367="","",IFERROR(C367*INDEX(Товары!$J$2:$J$51,MATCH(B367,Товары!$A$2:$A$51,0)),""))</f>
        <v/>
      </c>
      <c r="G367" s="2">
        <f>IF(A367="","",YEAR(A367)&amp;"-"&amp;TEXT(MONTH(A367),"00"))</f>
        <v/>
      </c>
    </row>
    <row r="368">
      <c r="A368" s="2" t="n"/>
      <c r="B368" s="2" t="n"/>
      <c r="C368" s="2" t="n"/>
      <c r="D368" s="8">
        <f>IF(B368="","",IFERROR(INDEX(Товары!$F$2:$F$51,MATCH(B368,Товары!$A$2:$A$51,0)),""))</f>
        <v/>
      </c>
      <c r="E368" s="8">
        <f>IF(OR(B368="",D368=""),"",C368*D368)</f>
        <v/>
      </c>
      <c r="F368" s="8">
        <f>IF(B368="","",IFERROR(C368*INDEX(Товары!$J$2:$J$51,MATCH(B368,Товары!$A$2:$A$51,0)),""))</f>
        <v/>
      </c>
      <c r="G368" s="2">
        <f>IF(A368="","",YEAR(A368)&amp;"-"&amp;TEXT(MONTH(A368),"00"))</f>
        <v/>
      </c>
    </row>
    <row r="369">
      <c r="A369" s="2" t="n"/>
      <c r="B369" s="2" t="n"/>
      <c r="C369" s="2" t="n"/>
      <c r="D369" s="8">
        <f>IF(B369="","",IFERROR(INDEX(Товары!$F$2:$F$51,MATCH(B369,Товары!$A$2:$A$51,0)),""))</f>
        <v/>
      </c>
      <c r="E369" s="8">
        <f>IF(OR(B369="",D369=""),"",C369*D369)</f>
        <v/>
      </c>
      <c r="F369" s="8">
        <f>IF(B369="","",IFERROR(C369*INDEX(Товары!$J$2:$J$51,MATCH(B369,Товары!$A$2:$A$51,0)),""))</f>
        <v/>
      </c>
      <c r="G369" s="2">
        <f>IF(A369="","",YEAR(A369)&amp;"-"&amp;TEXT(MONTH(A369),"00"))</f>
        <v/>
      </c>
    </row>
    <row r="370">
      <c r="A370" s="2" t="n"/>
      <c r="B370" s="2" t="n"/>
      <c r="C370" s="2" t="n"/>
      <c r="D370" s="8">
        <f>IF(B370="","",IFERROR(INDEX(Товары!$F$2:$F$51,MATCH(B370,Товары!$A$2:$A$51,0)),""))</f>
        <v/>
      </c>
      <c r="E370" s="8">
        <f>IF(OR(B370="",D370=""),"",C370*D370)</f>
        <v/>
      </c>
      <c r="F370" s="8">
        <f>IF(B370="","",IFERROR(C370*INDEX(Товары!$J$2:$J$51,MATCH(B370,Товары!$A$2:$A$51,0)),""))</f>
        <v/>
      </c>
      <c r="G370" s="2">
        <f>IF(A370="","",YEAR(A370)&amp;"-"&amp;TEXT(MONTH(A370),"00"))</f>
        <v/>
      </c>
    </row>
    <row r="371">
      <c r="A371" s="2" t="n"/>
      <c r="B371" s="2" t="n"/>
      <c r="C371" s="2" t="n"/>
      <c r="D371" s="8">
        <f>IF(B371="","",IFERROR(INDEX(Товары!$F$2:$F$51,MATCH(B371,Товары!$A$2:$A$51,0)),""))</f>
        <v/>
      </c>
      <c r="E371" s="8">
        <f>IF(OR(B371="",D371=""),"",C371*D371)</f>
        <v/>
      </c>
      <c r="F371" s="8">
        <f>IF(B371="","",IFERROR(C371*INDEX(Товары!$J$2:$J$51,MATCH(B371,Товары!$A$2:$A$51,0)),""))</f>
        <v/>
      </c>
      <c r="G371" s="2">
        <f>IF(A371="","",YEAR(A371)&amp;"-"&amp;TEXT(MONTH(A371),"00"))</f>
        <v/>
      </c>
    </row>
    <row r="372">
      <c r="A372" s="2" t="n"/>
      <c r="B372" s="2" t="n"/>
      <c r="C372" s="2" t="n"/>
      <c r="D372" s="8">
        <f>IF(B372="","",IFERROR(INDEX(Товары!$F$2:$F$51,MATCH(B372,Товары!$A$2:$A$51,0)),""))</f>
        <v/>
      </c>
      <c r="E372" s="8">
        <f>IF(OR(B372="",D372=""),"",C372*D372)</f>
        <v/>
      </c>
      <c r="F372" s="8">
        <f>IF(B372="","",IFERROR(C372*INDEX(Товары!$J$2:$J$51,MATCH(B372,Товары!$A$2:$A$51,0)),""))</f>
        <v/>
      </c>
      <c r="G372" s="2">
        <f>IF(A372="","",YEAR(A372)&amp;"-"&amp;TEXT(MONTH(A372),"00"))</f>
        <v/>
      </c>
    </row>
    <row r="373">
      <c r="A373" s="2" t="n"/>
      <c r="B373" s="2" t="n"/>
      <c r="C373" s="2" t="n"/>
      <c r="D373" s="8">
        <f>IF(B373="","",IFERROR(INDEX(Товары!$F$2:$F$51,MATCH(B373,Товары!$A$2:$A$51,0)),""))</f>
        <v/>
      </c>
      <c r="E373" s="8">
        <f>IF(OR(B373="",D373=""),"",C373*D373)</f>
        <v/>
      </c>
      <c r="F373" s="8">
        <f>IF(B373="","",IFERROR(C373*INDEX(Товары!$J$2:$J$51,MATCH(B373,Товары!$A$2:$A$51,0)),""))</f>
        <v/>
      </c>
      <c r="G373" s="2">
        <f>IF(A373="","",YEAR(A373)&amp;"-"&amp;TEXT(MONTH(A373),"00"))</f>
        <v/>
      </c>
    </row>
    <row r="374">
      <c r="A374" s="2" t="n"/>
      <c r="B374" s="2" t="n"/>
      <c r="C374" s="2" t="n"/>
      <c r="D374" s="8">
        <f>IF(B374="","",IFERROR(INDEX(Товары!$F$2:$F$51,MATCH(B374,Товары!$A$2:$A$51,0)),""))</f>
        <v/>
      </c>
      <c r="E374" s="8">
        <f>IF(OR(B374="",D374=""),"",C374*D374)</f>
        <v/>
      </c>
      <c r="F374" s="8">
        <f>IF(B374="","",IFERROR(C374*INDEX(Товары!$J$2:$J$51,MATCH(B374,Товары!$A$2:$A$51,0)),""))</f>
        <v/>
      </c>
      <c r="G374" s="2">
        <f>IF(A374="","",YEAR(A374)&amp;"-"&amp;TEXT(MONTH(A374),"00"))</f>
        <v/>
      </c>
    </row>
    <row r="375">
      <c r="A375" s="2" t="n"/>
      <c r="B375" s="2" t="n"/>
      <c r="C375" s="2" t="n"/>
      <c r="D375" s="8">
        <f>IF(B375="","",IFERROR(INDEX(Товары!$F$2:$F$51,MATCH(B375,Товары!$A$2:$A$51,0)),""))</f>
        <v/>
      </c>
      <c r="E375" s="8">
        <f>IF(OR(B375="",D375=""),"",C375*D375)</f>
        <v/>
      </c>
      <c r="F375" s="8">
        <f>IF(B375="","",IFERROR(C375*INDEX(Товары!$J$2:$J$51,MATCH(B375,Товары!$A$2:$A$51,0)),""))</f>
        <v/>
      </c>
      <c r="G375" s="2">
        <f>IF(A375="","",YEAR(A375)&amp;"-"&amp;TEXT(MONTH(A375),"00"))</f>
        <v/>
      </c>
    </row>
    <row r="376">
      <c r="A376" s="2" t="n"/>
      <c r="B376" s="2" t="n"/>
      <c r="C376" s="2" t="n"/>
      <c r="D376" s="8">
        <f>IF(B376="","",IFERROR(INDEX(Товары!$F$2:$F$51,MATCH(B376,Товары!$A$2:$A$51,0)),""))</f>
        <v/>
      </c>
      <c r="E376" s="8">
        <f>IF(OR(B376="",D376=""),"",C376*D376)</f>
        <v/>
      </c>
      <c r="F376" s="8">
        <f>IF(B376="","",IFERROR(C376*INDEX(Товары!$J$2:$J$51,MATCH(B376,Товары!$A$2:$A$51,0)),""))</f>
        <v/>
      </c>
      <c r="G376" s="2">
        <f>IF(A376="","",YEAR(A376)&amp;"-"&amp;TEXT(MONTH(A376),"00"))</f>
        <v/>
      </c>
    </row>
    <row r="377">
      <c r="A377" s="2" t="n"/>
      <c r="B377" s="2" t="n"/>
      <c r="C377" s="2" t="n"/>
      <c r="D377" s="8">
        <f>IF(B377="","",IFERROR(INDEX(Товары!$F$2:$F$51,MATCH(B377,Товары!$A$2:$A$51,0)),""))</f>
        <v/>
      </c>
      <c r="E377" s="8">
        <f>IF(OR(B377="",D377=""),"",C377*D377)</f>
        <v/>
      </c>
      <c r="F377" s="8">
        <f>IF(B377="","",IFERROR(C377*INDEX(Товары!$J$2:$J$51,MATCH(B377,Товары!$A$2:$A$51,0)),""))</f>
        <v/>
      </c>
      <c r="G377" s="2">
        <f>IF(A377="","",YEAR(A377)&amp;"-"&amp;TEXT(MONTH(A377),"00"))</f>
        <v/>
      </c>
    </row>
    <row r="378">
      <c r="A378" s="2" t="n"/>
      <c r="B378" s="2" t="n"/>
      <c r="C378" s="2" t="n"/>
      <c r="D378" s="8">
        <f>IF(B378="","",IFERROR(INDEX(Товары!$F$2:$F$51,MATCH(B378,Товары!$A$2:$A$51,0)),""))</f>
        <v/>
      </c>
      <c r="E378" s="8">
        <f>IF(OR(B378="",D378=""),"",C378*D378)</f>
        <v/>
      </c>
      <c r="F378" s="8">
        <f>IF(B378="","",IFERROR(C378*INDEX(Товары!$J$2:$J$51,MATCH(B378,Товары!$A$2:$A$51,0)),""))</f>
        <v/>
      </c>
      <c r="G378" s="2">
        <f>IF(A378="","",YEAR(A378)&amp;"-"&amp;TEXT(MONTH(A378),"00"))</f>
        <v/>
      </c>
    </row>
    <row r="379">
      <c r="A379" s="2" t="n"/>
      <c r="B379" s="2" t="n"/>
      <c r="C379" s="2" t="n"/>
      <c r="D379" s="8">
        <f>IF(B379="","",IFERROR(INDEX(Товары!$F$2:$F$51,MATCH(B379,Товары!$A$2:$A$51,0)),""))</f>
        <v/>
      </c>
      <c r="E379" s="8">
        <f>IF(OR(B379="",D379=""),"",C379*D379)</f>
        <v/>
      </c>
      <c r="F379" s="8">
        <f>IF(B379="","",IFERROR(C379*INDEX(Товары!$J$2:$J$51,MATCH(B379,Товары!$A$2:$A$51,0)),""))</f>
        <v/>
      </c>
      <c r="G379" s="2">
        <f>IF(A379="","",YEAR(A379)&amp;"-"&amp;TEXT(MONTH(A379),"00"))</f>
        <v/>
      </c>
    </row>
    <row r="380">
      <c r="A380" s="2" t="n"/>
      <c r="B380" s="2" t="n"/>
      <c r="C380" s="2" t="n"/>
      <c r="D380" s="8">
        <f>IF(B380="","",IFERROR(INDEX(Товары!$F$2:$F$51,MATCH(B380,Товары!$A$2:$A$51,0)),""))</f>
        <v/>
      </c>
      <c r="E380" s="8">
        <f>IF(OR(B380="",D380=""),"",C380*D380)</f>
        <v/>
      </c>
      <c r="F380" s="8">
        <f>IF(B380="","",IFERROR(C380*INDEX(Товары!$J$2:$J$51,MATCH(B380,Товары!$A$2:$A$51,0)),""))</f>
        <v/>
      </c>
      <c r="G380" s="2">
        <f>IF(A380="","",YEAR(A380)&amp;"-"&amp;TEXT(MONTH(A380),"00"))</f>
        <v/>
      </c>
    </row>
    <row r="381">
      <c r="A381" s="2" t="n"/>
      <c r="B381" s="2" t="n"/>
      <c r="C381" s="2" t="n"/>
      <c r="D381" s="8">
        <f>IF(B381="","",IFERROR(INDEX(Товары!$F$2:$F$51,MATCH(B381,Товары!$A$2:$A$51,0)),""))</f>
        <v/>
      </c>
      <c r="E381" s="8">
        <f>IF(OR(B381="",D381=""),"",C381*D381)</f>
        <v/>
      </c>
      <c r="F381" s="8">
        <f>IF(B381="","",IFERROR(C381*INDEX(Товары!$J$2:$J$51,MATCH(B381,Товары!$A$2:$A$51,0)),""))</f>
        <v/>
      </c>
      <c r="G381" s="2">
        <f>IF(A381="","",YEAR(A381)&amp;"-"&amp;TEXT(MONTH(A381),"00"))</f>
        <v/>
      </c>
    </row>
    <row r="382">
      <c r="A382" s="2" t="n"/>
      <c r="B382" s="2" t="n"/>
      <c r="C382" s="2" t="n"/>
      <c r="D382" s="8">
        <f>IF(B382="","",IFERROR(INDEX(Товары!$F$2:$F$51,MATCH(B382,Товары!$A$2:$A$51,0)),""))</f>
        <v/>
      </c>
      <c r="E382" s="8">
        <f>IF(OR(B382="",D382=""),"",C382*D382)</f>
        <v/>
      </c>
      <c r="F382" s="8">
        <f>IF(B382="","",IFERROR(C382*INDEX(Товары!$J$2:$J$51,MATCH(B382,Товары!$A$2:$A$51,0)),""))</f>
        <v/>
      </c>
      <c r="G382" s="2">
        <f>IF(A382="","",YEAR(A382)&amp;"-"&amp;TEXT(MONTH(A382),"00"))</f>
        <v/>
      </c>
    </row>
    <row r="383">
      <c r="A383" s="2" t="n"/>
      <c r="B383" s="2" t="n"/>
      <c r="C383" s="2" t="n"/>
      <c r="D383" s="8">
        <f>IF(B383="","",IFERROR(INDEX(Товары!$F$2:$F$51,MATCH(B383,Товары!$A$2:$A$51,0)),""))</f>
        <v/>
      </c>
      <c r="E383" s="8">
        <f>IF(OR(B383="",D383=""),"",C383*D383)</f>
        <v/>
      </c>
      <c r="F383" s="8">
        <f>IF(B383="","",IFERROR(C383*INDEX(Товары!$J$2:$J$51,MATCH(B383,Товары!$A$2:$A$51,0)),""))</f>
        <v/>
      </c>
      <c r="G383" s="2">
        <f>IF(A383="","",YEAR(A383)&amp;"-"&amp;TEXT(MONTH(A383),"00"))</f>
        <v/>
      </c>
    </row>
    <row r="384">
      <c r="A384" s="2" t="n"/>
      <c r="B384" s="2" t="n"/>
      <c r="C384" s="2" t="n"/>
      <c r="D384" s="8">
        <f>IF(B384="","",IFERROR(INDEX(Товары!$F$2:$F$51,MATCH(B384,Товары!$A$2:$A$51,0)),""))</f>
        <v/>
      </c>
      <c r="E384" s="8">
        <f>IF(OR(B384="",D384=""),"",C384*D384)</f>
        <v/>
      </c>
      <c r="F384" s="8">
        <f>IF(B384="","",IFERROR(C384*INDEX(Товары!$J$2:$J$51,MATCH(B384,Товары!$A$2:$A$51,0)),""))</f>
        <v/>
      </c>
      <c r="G384" s="2">
        <f>IF(A384="","",YEAR(A384)&amp;"-"&amp;TEXT(MONTH(A384),"00"))</f>
        <v/>
      </c>
    </row>
    <row r="385">
      <c r="A385" s="2" t="n"/>
      <c r="B385" s="2" t="n"/>
      <c r="C385" s="2" t="n"/>
      <c r="D385" s="8">
        <f>IF(B385="","",IFERROR(INDEX(Товары!$F$2:$F$51,MATCH(B385,Товары!$A$2:$A$51,0)),""))</f>
        <v/>
      </c>
      <c r="E385" s="8">
        <f>IF(OR(B385="",D385=""),"",C385*D385)</f>
        <v/>
      </c>
      <c r="F385" s="8">
        <f>IF(B385="","",IFERROR(C385*INDEX(Товары!$J$2:$J$51,MATCH(B385,Товары!$A$2:$A$51,0)),""))</f>
        <v/>
      </c>
      <c r="G385" s="2">
        <f>IF(A385="","",YEAR(A385)&amp;"-"&amp;TEXT(MONTH(A385),"00"))</f>
        <v/>
      </c>
    </row>
    <row r="386">
      <c r="A386" s="2" t="n"/>
      <c r="B386" s="2" t="n"/>
      <c r="C386" s="2" t="n"/>
      <c r="D386" s="8">
        <f>IF(B386="","",IFERROR(INDEX(Товары!$F$2:$F$51,MATCH(B386,Товары!$A$2:$A$51,0)),""))</f>
        <v/>
      </c>
      <c r="E386" s="8">
        <f>IF(OR(B386="",D386=""),"",C386*D386)</f>
        <v/>
      </c>
      <c r="F386" s="8">
        <f>IF(B386="","",IFERROR(C386*INDEX(Товары!$J$2:$J$51,MATCH(B386,Товары!$A$2:$A$51,0)),""))</f>
        <v/>
      </c>
      <c r="G386" s="2">
        <f>IF(A386="","",YEAR(A386)&amp;"-"&amp;TEXT(MONTH(A386),"00"))</f>
        <v/>
      </c>
    </row>
    <row r="387">
      <c r="A387" s="2" t="n"/>
      <c r="B387" s="2" t="n"/>
      <c r="C387" s="2" t="n"/>
      <c r="D387" s="8">
        <f>IF(B387="","",IFERROR(INDEX(Товары!$F$2:$F$51,MATCH(B387,Товары!$A$2:$A$51,0)),""))</f>
        <v/>
      </c>
      <c r="E387" s="8">
        <f>IF(OR(B387="",D387=""),"",C387*D387)</f>
        <v/>
      </c>
      <c r="F387" s="8">
        <f>IF(B387="","",IFERROR(C387*INDEX(Товары!$J$2:$J$51,MATCH(B387,Товары!$A$2:$A$51,0)),""))</f>
        <v/>
      </c>
      <c r="G387" s="2">
        <f>IF(A387="","",YEAR(A387)&amp;"-"&amp;TEXT(MONTH(A387),"00"))</f>
        <v/>
      </c>
    </row>
    <row r="388">
      <c r="A388" s="2" t="n"/>
      <c r="B388" s="2" t="n"/>
      <c r="C388" s="2" t="n"/>
      <c r="D388" s="8">
        <f>IF(B388="","",IFERROR(INDEX(Товары!$F$2:$F$51,MATCH(B388,Товары!$A$2:$A$51,0)),""))</f>
        <v/>
      </c>
      <c r="E388" s="8">
        <f>IF(OR(B388="",D388=""),"",C388*D388)</f>
        <v/>
      </c>
      <c r="F388" s="8">
        <f>IF(B388="","",IFERROR(C388*INDEX(Товары!$J$2:$J$51,MATCH(B388,Товары!$A$2:$A$51,0)),""))</f>
        <v/>
      </c>
      <c r="G388" s="2">
        <f>IF(A388="","",YEAR(A388)&amp;"-"&amp;TEXT(MONTH(A388),"00"))</f>
        <v/>
      </c>
    </row>
    <row r="389">
      <c r="A389" s="2" t="n"/>
      <c r="B389" s="2" t="n"/>
      <c r="C389" s="2" t="n"/>
      <c r="D389" s="8">
        <f>IF(B389="","",IFERROR(INDEX(Товары!$F$2:$F$51,MATCH(B389,Товары!$A$2:$A$51,0)),""))</f>
        <v/>
      </c>
      <c r="E389" s="8">
        <f>IF(OR(B389="",D389=""),"",C389*D389)</f>
        <v/>
      </c>
      <c r="F389" s="8">
        <f>IF(B389="","",IFERROR(C389*INDEX(Товары!$J$2:$J$51,MATCH(B389,Товары!$A$2:$A$51,0)),""))</f>
        <v/>
      </c>
      <c r="G389" s="2">
        <f>IF(A389="","",YEAR(A389)&amp;"-"&amp;TEXT(MONTH(A389),"00"))</f>
        <v/>
      </c>
    </row>
    <row r="390">
      <c r="A390" s="2" t="n"/>
      <c r="B390" s="2" t="n"/>
      <c r="C390" s="2" t="n"/>
      <c r="D390" s="8">
        <f>IF(B390="","",IFERROR(INDEX(Товары!$F$2:$F$51,MATCH(B390,Товары!$A$2:$A$51,0)),""))</f>
        <v/>
      </c>
      <c r="E390" s="8">
        <f>IF(OR(B390="",D390=""),"",C390*D390)</f>
        <v/>
      </c>
      <c r="F390" s="8">
        <f>IF(B390="","",IFERROR(C390*INDEX(Товары!$J$2:$J$51,MATCH(B390,Товары!$A$2:$A$51,0)),""))</f>
        <v/>
      </c>
      <c r="G390" s="2">
        <f>IF(A390="","",YEAR(A390)&amp;"-"&amp;TEXT(MONTH(A390),"00"))</f>
        <v/>
      </c>
    </row>
    <row r="391">
      <c r="A391" s="2" t="n"/>
      <c r="B391" s="2" t="n"/>
      <c r="C391" s="2" t="n"/>
      <c r="D391" s="8">
        <f>IF(B391="","",IFERROR(INDEX(Товары!$F$2:$F$51,MATCH(B391,Товары!$A$2:$A$51,0)),""))</f>
        <v/>
      </c>
      <c r="E391" s="8">
        <f>IF(OR(B391="",D391=""),"",C391*D391)</f>
        <v/>
      </c>
      <c r="F391" s="8">
        <f>IF(B391="","",IFERROR(C391*INDEX(Товары!$J$2:$J$51,MATCH(B391,Товары!$A$2:$A$51,0)),""))</f>
        <v/>
      </c>
      <c r="G391" s="2">
        <f>IF(A391="","",YEAR(A391)&amp;"-"&amp;TEXT(MONTH(A391),"00"))</f>
        <v/>
      </c>
    </row>
    <row r="392">
      <c r="A392" s="2" t="n"/>
      <c r="B392" s="2" t="n"/>
      <c r="C392" s="2" t="n"/>
      <c r="D392" s="8">
        <f>IF(B392="","",IFERROR(INDEX(Товары!$F$2:$F$51,MATCH(B392,Товары!$A$2:$A$51,0)),""))</f>
        <v/>
      </c>
      <c r="E392" s="8">
        <f>IF(OR(B392="",D392=""),"",C392*D392)</f>
        <v/>
      </c>
      <c r="F392" s="8">
        <f>IF(B392="","",IFERROR(C392*INDEX(Товары!$J$2:$J$51,MATCH(B392,Товары!$A$2:$A$51,0)),""))</f>
        <v/>
      </c>
      <c r="G392" s="2">
        <f>IF(A392="","",YEAR(A392)&amp;"-"&amp;TEXT(MONTH(A392),"00"))</f>
        <v/>
      </c>
    </row>
    <row r="393">
      <c r="A393" s="2" t="n"/>
      <c r="B393" s="2" t="n"/>
      <c r="C393" s="2" t="n"/>
      <c r="D393" s="8">
        <f>IF(B393="","",IFERROR(INDEX(Товары!$F$2:$F$51,MATCH(B393,Товары!$A$2:$A$51,0)),""))</f>
        <v/>
      </c>
      <c r="E393" s="8">
        <f>IF(OR(B393="",D393=""),"",C393*D393)</f>
        <v/>
      </c>
      <c r="F393" s="8">
        <f>IF(B393="","",IFERROR(C393*INDEX(Товары!$J$2:$J$51,MATCH(B393,Товары!$A$2:$A$51,0)),""))</f>
        <v/>
      </c>
      <c r="G393" s="2">
        <f>IF(A393="","",YEAR(A393)&amp;"-"&amp;TEXT(MONTH(A393),"00"))</f>
        <v/>
      </c>
    </row>
    <row r="394">
      <c r="A394" s="2" t="n"/>
      <c r="B394" s="2" t="n"/>
      <c r="C394" s="2" t="n"/>
      <c r="D394" s="8">
        <f>IF(B394="","",IFERROR(INDEX(Товары!$F$2:$F$51,MATCH(B394,Товары!$A$2:$A$51,0)),""))</f>
        <v/>
      </c>
      <c r="E394" s="8">
        <f>IF(OR(B394="",D394=""),"",C394*D394)</f>
        <v/>
      </c>
      <c r="F394" s="8">
        <f>IF(B394="","",IFERROR(C394*INDEX(Товары!$J$2:$J$51,MATCH(B394,Товары!$A$2:$A$51,0)),""))</f>
        <v/>
      </c>
      <c r="G394" s="2">
        <f>IF(A394="","",YEAR(A394)&amp;"-"&amp;TEXT(MONTH(A394),"00"))</f>
        <v/>
      </c>
    </row>
    <row r="395">
      <c r="A395" s="2" t="n"/>
      <c r="B395" s="2" t="n"/>
      <c r="C395" s="2" t="n"/>
      <c r="D395" s="8">
        <f>IF(B395="","",IFERROR(INDEX(Товары!$F$2:$F$51,MATCH(B395,Товары!$A$2:$A$51,0)),""))</f>
        <v/>
      </c>
      <c r="E395" s="8">
        <f>IF(OR(B395="",D395=""),"",C395*D395)</f>
        <v/>
      </c>
      <c r="F395" s="8">
        <f>IF(B395="","",IFERROR(C395*INDEX(Товары!$J$2:$J$51,MATCH(B395,Товары!$A$2:$A$51,0)),""))</f>
        <v/>
      </c>
      <c r="G395" s="2">
        <f>IF(A395="","",YEAR(A395)&amp;"-"&amp;TEXT(MONTH(A395),"00"))</f>
        <v/>
      </c>
    </row>
    <row r="396">
      <c r="A396" s="2" t="n"/>
      <c r="B396" s="2" t="n"/>
      <c r="C396" s="2" t="n"/>
      <c r="D396" s="8">
        <f>IF(B396="","",IFERROR(INDEX(Товары!$F$2:$F$51,MATCH(B396,Товары!$A$2:$A$51,0)),""))</f>
        <v/>
      </c>
      <c r="E396" s="8">
        <f>IF(OR(B396="",D396=""),"",C396*D396)</f>
        <v/>
      </c>
      <c r="F396" s="8">
        <f>IF(B396="","",IFERROR(C396*INDEX(Товары!$J$2:$J$51,MATCH(B396,Товары!$A$2:$A$51,0)),""))</f>
        <v/>
      </c>
      <c r="G396" s="2">
        <f>IF(A396="","",YEAR(A396)&amp;"-"&amp;TEXT(MONTH(A396),"00"))</f>
        <v/>
      </c>
    </row>
    <row r="397">
      <c r="A397" s="2" t="n"/>
      <c r="B397" s="2" t="n"/>
      <c r="C397" s="2" t="n"/>
      <c r="D397" s="8">
        <f>IF(B397="","",IFERROR(INDEX(Товары!$F$2:$F$51,MATCH(B397,Товары!$A$2:$A$51,0)),""))</f>
        <v/>
      </c>
      <c r="E397" s="8">
        <f>IF(OR(B397="",D397=""),"",C397*D397)</f>
        <v/>
      </c>
      <c r="F397" s="8">
        <f>IF(B397="","",IFERROR(C397*INDEX(Товары!$J$2:$J$51,MATCH(B397,Товары!$A$2:$A$51,0)),""))</f>
        <v/>
      </c>
      <c r="G397" s="2">
        <f>IF(A397="","",YEAR(A397)&amp;"-"&amp;TEXT(MONTH(A397),"00"))</f>
        <v/>
      </c>
    </row>
    <row r="398">
      <c r="A398" s="2" t="n"/>
      <c r="B398" s="2" t="n"/>
      <c r="C398" s="2" t="n"/>
      <c r="D398" s="8">
        <f>IF(B398="","",IFERROR(INDEX(Товары!$F$2:$F$51,MATCH(B398,Товары!$A$2:$A$51,0)),""))</f>
        <v/>
      </c>
      <c r="E398" s="8">
        <f>IF(OR(B398="",D398=""),"",C398*D398)</f>
        <v/>
      </c>
      <c r="F398" s="8">
        <f>IF(B398="","",IFERROR(C398*INDEX(Товары!$J$2:$J$51,MATCH(B398,Товары!$A$2:$A$51,0)),""))</f>
        <v/>
      </c>
      <c r="G398" s="2">
        <f>IF(A398="","",YEAR(A398)&amp;"-"&amp;TEXT(MONTH(A398),"00"))</f>
        <v/>
      </c>
    </row>
    <row r="399">
      <c r="A399" s="2" t="n"/>
      <c r="B399" s="2" t="n"/>
      <c r="C399" s="2" t="n"/>
      <c r="D399" s="8">
        <f>IF(B399="","",IFERROR(INDEX(Товары!$F$2:$F$51,MATCH(B399,Товары!$A$2:$A$51,0)),""))</f>
        <v/>
      </c>
      <c r="E399" s="8">
        <f>IF(OR(B399="",D399=""),"",C399*D399)</f>
        <v/>
      </c>
      <c r="F399" s="8">
        <f>IF(B399="","",IFERROR(C399*INDEX(Товары!$J$2:$J$51,MATCH(B399,Товары!$A$2:$A$51,0)),""))</f>
        <v/>
      </c>
      <c r="G399" s="2">
        <f>IF(A399="","",YEAR(A399)&amp;"-"&amp;TEXT(MONTH(A399),"00"))</f>
        <v/>
      </c>
    </row>
    <row r="400">
      <c r="A400" s="2" t="n"/>
      <c r="B400" s="2" t="n"/>
      <c r="C400" s="2" t="n"/>
      <c r="D400" s="8">
        <f>IF(B400="","",IFERROR(INDEX(Товары!$F$2:$F$51,MATCH(B400,Товары!$A$2:$A$51,0)),""))</f>
        <v/>
      </c>
      <c r="E400" s="8">
        <f>IF(OR(B400="",D400=""),"",C400*D400)</f>
        <v/>
      </c>
      <c r="F400" s="8">
        <f>IF(B400="","",IFERROR(C400*INDEX(Товары!$J$2:$J$51,MATCH(B400,Товары!$A$2:$A$51,0)),""))</f>
        <v/>
      </c>
      <c r="G400" s="2">
        <f>IF(A400="","",YEAR(A400)&amp;"-"&amp;TEXT(MONTH(A400),"00"))</f>
        <v/>
      </c>
    </row>
    <row r="401">
      <c r="A401" s="2" t="n"/>
      <c r="B401" s="2" t="n"/>
      <c r="C401" s="2" t="n"/>
      <c r="D401" s="8">
        <f>IF(B401="","",IFERROR(INDEX(Товары!$F$2:$F$51,MATCH(B401,Товары!$A$2:$A$51,0)),""))</f>
        <v/>
      </c>
      <c r="E401" s="8">
        <f>IF(OR(B401="",D401=""),"",C401*D401)</f>
        <v/>
      </c>
      <c r="F401" s="8">
        <f>IF(B401="","",IFERROR(C401*INDEX(Товары!$J$2:$J$51,MATCH(B401,Товары!$A$2:$A$51,0)),""))</f>
        <v/>
      </c>
      <c r="G401" s="2">
        <f>IF(A401="","",YEAR(A401)&amp;"-"&amp;TEXT(MONTH(A401),"00"))</f>
        <v/>
      </c>
    </row>
    <row r="402">
      <c r="A402" s="2" t="n"/>
      <c r="B402" s="2" t="n"/>
      <c r="C402" s="2" t="n"/>
      <c r="D402" s="8">
        <f>IF(B402="","",IFERROR(INDEX(Товары!$F$2:$F$51,MATCH(B402,Товары!$A$2:$A$51,0)),""))</f>
        <v/>
      </c>
      <c r="E402" s="8">
        <f>IF(OR(B402="",D402=""),"",C402*D402)</f>
        <v/>
      </c>
      <c r="F402" s="8">
        <f>IF(B402="","",IFERROR(C402*INDEX(Товары!$J$2:$J$51,MATCH(B402,Товары!$A$2:$A$51,0)),""))</f>
        <v/>
      </c>
      <c r="G402" s="2">
        <f>IF(A402="","",YEAR(A402)&amp;"-"&amp;TEXT(MONTH(A402),"00"))</f>
        <v/>
      </c>
    </row>
    <row r="403">
      <c r="A403" s="2" t="n"/>
      <c r="B403" s="2" t="n"/>
      <c r="C403" s="2" t="n"/>
      <c r="D403" s="8">
        <f>IF(B403="","",IFERROR(INDEX(Товары!$F$2:$F$51,MATCH(B403,Товары!$A$2:$A$51,0)),""))</f>
        <v/>
      </c>
      <c r="E403" s="8">
        <f>IF(OR(B403="",D403=""),"",C403*D403)</f>
        <v/>
      </c>
      <c r="F403" s="8">
        <f>IF(B403="","",IFERROR(C403*INDEX(Товары!$J$2:$J$51,MATCH(B403,Товары!$A$2:$A$51,0)),""))</f>
        <v/>
      </c>
      <c r="G403" s="2">
        <f>IF(A403="","",YEAR(A403)&amp;"-"&amp;TEXT(MONTH(A403),"00"))</f>
        <v/>
      </c>
    </row>
    <row r="404">
      <c r="A404" s="2" t="n"/>
      <c r="B404" s="2" t="n"/>
      <c r="C404" s="2" t="n"/>
      <c r="D404" s="8">
        <f>IF(B404="","",IFERROR(INDEX(Товары!$F$2:$F$51,MATCH(B404,Товары!$A$2:$A$51,0)),""))</f>
        <v/>
      </c>
      <c r="E404" s="8">
        <f>IF(OR(B404="",D404=""),"",C404*D404)</f>
        <v/>
      </c>
      <c r="F404" s="8">
        <f>IF(B404="","",IFERROR(C404*INDEX(Товары!$J$2:$J$51,MATCH(B404,Товары!$A$2:$A$51,0)),""))</f>
        <v/>
      </c>
      <c r="G404" s="2">
        <f>IF(A404="","",YEAR(A404)&amp;"-"&amp;TEXT(MONTH(A404),"00"))</f>
        <v/>
      </c>
    </row>
    <row r="405">
      <c r="A405" s="2" t="n"/>
      <c r="B405" s="2" t="n"/>
      <c r="C405" s="2" t="n"/>
      <c r="D405" s="8">
        <f>IF(B405="","",IFERROR(INDEX(Товары!$F$2:$F$51,MATCH(B405,Товары!$A$2:$A$51,0)),""))</f>
        <v/>
      </c>
      <c r="E405" s="8">
        <f>IF(OR(B405="",D405=""),"",C405*D405)</f>
        <v/>
      </c>
      <c r="F405" s="8">
        <f>IF(B405="","",IFERROR(C405*INDEX(Товары!$J$2:$J$51,MATCH(B405,Товары!$A$2:$A$51,0)),""))</f>
        <v/>
      </c>
      <c r="G405" s="2">
        <f>IF(A405="","",YEAR(A405)&amp;"-"&amp;TEXT(MONTH(A405),"00"))</f>
        <v/>
      </c>
    </row>
    <row r="406">
      <c r="A406" s="2" t="n"/>
      <c r="B406" s="2" t="n"/>
      <c r="C406" s="2" t="n"/>
      <c r="D406" s="8">
        <f>IF(B406="","",IFERROR(INDEX(Товары!$F$2:$F$51,MATCH(B406,Товары!$A$2:$A$51,0)),""))</f>
        <v/>
      </c>
      <c r="E406" s="8">
        <f>IF(OR(B406="",D406=""),"",C406*D406)</f>
        <v/>
      </c>
      <c r="F406" s="8">
        <f>IF(B406="","",IFERROR(C406*INDEX(Товары!$J$2:$J$51,MATCH(B406,Товары!$A$2:$A$51,0)),""))</f>
        <v/>
      </c>
      <c r="G406" s="2">
        <f>IF(A406="","",YEAR(A406)&amp;"-"&amp;TEXT(MONTH(A406),"00"))</f>
        <v/>
      </c>
    </row>
    <row r="407">
      <c r="A407" s="2" t="n"/>
      <c r="B407" s="2" t="n"/>
      <c r="C407" s="2" t="n"/>
      <c r="D407" s="8">
        <f>IF(B407="","",IFERROR(INDEX(Товары!$F$2:$F$51,MATCH(B407,Товары!$A$2:$A$51,0)),""))</f>
        <v/>
      </c>
      <c r="E407" s="8">
        <f>IF(OR(B407="",D407=""),"",C407*D407)</f>
        <v/>
      </c>
      <c r="F407" s="8">
        <f>IF(B407="","",IFERROR(C407*INDEX(Товары!$J$2:$J$51,MATCH(B407,Товары!$A$2:$A$51,0)),""))</f>
        <v/>
      </c>
      <c r="G407" s="2">
        <f>IF(A407="","",YEAR(A407)&amp;"-"&amp;TEXT(MONTH(A407),"00"))</f>
        <v/>
      </c>
    </row>
    <row r="408">
      <c r="A408" s="2" t="n"/>
      <c r="B408" s="2" t="n"/>
      <c r="C408" s="2" t="n"/>
      <c r="D408" s="8">
        <f>IF(B408="","",IFERROR(INDEX(Товары!$F$2:$F$51,MATCH(B408,Товары!$A$2:$A$51,0)),""))</f>
        <v/>
      </c>
      <c r="E408" s="8">
        <f>IF(OR(B408="",D408=""),"",C408*D408)</f>
        <v/>
      </c>
      <c r="F408" s="8">
        <f>IF(B408="","",IFERROR(C408*INDEX(Товары!$J$2:$J$51,MATCH(B408,Товары!$A$2:$A$51,0)),""))</f>
        <v/>
      </c>
      <c r="G408" s="2">
        <f>IF(A408="","",YEAR(A408)&amp;"-"&amp;TEXT(MONTH(A408),"00"))</f>
        <v/>
      </c>
    </row>
    <row r="409">
      <c r="A409" s="2" t="n"/>
      <c r="B409" s="2" t="n"/>
      <c r="C409" s="2" t="n"/>
      <c r="D409" s="8">
        <f>IF(B409="","",IFERROR(INDEX(Товары!$F$2:$F$51,MATCH(B409,Товары!$A$2:$A$51,0)),""))</f>
        <v/>
      </c>
      <c r="E409" s="8">
        <f>IF(OR(B409="",D409=""),"",C409*D409)</f>
        <v/>
      </c>
      <c r="F409" s="8">
        <f>IF(B409="","",IFERROR(C409*INDEX(Товары!$J$2:$J$51,MATCH(B409,Товары!$A$2:$A$51,0)),""))</f>
        <v/>
      </c>
      <c r="G409" s="2">
        <f>IF(A409="","",YEAR(A409)&amp;"-"&amp;TEXT(MONTH(A409),"00"))</f>
        <v/>
      </c>
    </row>
    <row r="410">
      <c r="A410" s="2" t="n"/>
      <c r="B410" s="2" t="n"/>
      <c r="C410" s="2" t="n"/>
      <c r="D410" s="8">
        <f>IF(B410="","",IFERROR(INDEX(Товары!$F$2:$F$51,MATCH(B410,Товары!$A$2:$A$51,0)),""))</f>
        <v/>
      </c>
      <c r="E410" s="8">
        <f>IF(OR(B410="",D410=""),"",C410*D410)</f>
        <v/>
      </c>
      <c r="F410" s="8">
        <f>IF(B410="","",IFERROR(C410*INDEX(Товары!$J$2:$J$51,MATCH(B410,Товары!$A$2:$A$51,0)),""))</f>
        <v/>
      </c>
      <c r="G410" s="2">
        <f>IF(A410="","",YEAR(A410)&amp;"-"&amp;TEXT(MONTH(A410),"00"))</f>
        <v/>
      </c>
    </row>
    <row r="411">
      <c r="A411" s="2" t="n"/>
      <c r="B411" s="2" t="n"/>
      <c r="C411" s="2" t="n"/>
      <c r="D411" s="8">
        <f>IF(B411="","",IFERROR(INDEX(Товары!$F$2:$F$51,MATCH(B411,Товары!$A$2:$A$51,0)),""))</f>
        <v/>
      </c>
      <c r="E411" s="8">
        <f>IF(OR(B411="",D411=""),"",C411*D411)</f>
        <v/>
      </c>
      <c r="F411" s="8">
        <f>IF(B411="","",IFERROR(C411*INDEX(Товары!$J$2:$J$51,MATCH(B411,Товары!$A$2:$A$51,0)),""))</f>
        <v/>
      </c>
      <c r="G411" s="2">
        <f>IF(A411="","",YEAR(A411)&amp;"-"&amp;TEXT(MONTH(A411),"00"))</f>
        <v/>
      </c>
    </row>
    <row r="412">
      <c r="A412" s="2" t="n"/>
      <c r="B412" s="2" t="n"/>
      <c r="C412" s="2" t="n"/>
      <c r="D412" s="8">
        <f>IF(B412="","",IFERROR(INDEX(Товары!$F$2:$F$51,MATCH(B412,Товары!$A$2:$A$51,0)),""))</f>
        <v/>
      </c>
      <c r="E412" s="8">
        <f>IF(OR(B412="",D412=""),"",C412*D412)</f>
        <v/>
      </c>
      <c r="F412" s="8">
        <f>IF(B412="","",IFERROR(C412*INDEX(Товары!$J$2:$J$51,MATCH(B412,Товары!$A$2:$A$51,0)),""))</f>
        <v/>
      </c>
      <c r="G412" s="2">
        <f>IF(A412="","",YEAR(A412)&amp;"-"&amp;TEXT(MONTH(A412),"00"))</f>
        <v/>
      </c>
    </row>
    <row r="413">
      <c r="A413" s="2" t="n"/>
      <c r="B413" s="2" t="n"/>
      <c r="C413" s="2" t="n"/>
      <c r="D413" s="8">
        <f>IF(B413="","",IFERROR(INDEX(Товары!$F$2:$F$51,MATCH(B413,Товары!$A$2:$A$51,0)),""))</f>
        <v/>
      </c>
      <c r="E413" s="8">
        <f>IF(OR(B413="",D413=""),"",C413*D413)</f>
        <v/>
      </c>
      <c r="F413" s="8">
        <f>IF(B413="","",IFERROR(C413*INDEX(Товары!$J$2:$J$51,MATCH(B413,Товары!$A$2:$A$51,0)),""))</f>
        <v/>
      </c>
      <c r="G413" s="2">
        <f>IF(A413="","",YEAR(A413)&amp;"-"&amp;TEXT(MONTH(A413),"00"))</f>
        <v/>
      </c>
    </row>
    <row r="414">
      <c r="A414" s="2" t="n"/>
      <c r="B414" s="2" t="n"/>
      <c r="C414" s="2" t="n"/>
      <c r="D414" s="8">
        <f>IF(B414="","",IFERROR(INDEX(Товары!$F$2:$F$51,MATCH(B414,Товары!$A$2:$A$51,0)),""))</f>
        <v/>
      </c>
      <c r="E414" s="8">
        <f>IF(OR(B414="",D414=""),"",C414*D414)</f>
        <v/>
      </c>
      <c r="F414" s="8">
        <f>IF(B414="","",IFERROR(C414*INDEX(Товары!$J$2:$J$51,MATCH(B414,Товары!$A$2:$A$51,0)),""))</f>
        <v/>
      </c>
      <c r="G414" s="2">
        <f>IF(A414="","",YEAR(A414)&amp;"-"&amp;TEXT(MONTH(A414),"00"))</f>
        <v/>
      </c>
    </row>
    <row r="415">
      <c r="A415" s="2" t="n"/>
      <c r="B415" s="2" t="n"/>
      <c r="C415" s="2" t="n"/>
      <c r="D415" s="8">
        <f>IF(B415="","",IFERROR(INDEX(Товары!$F$2:$F$51,MATCH(B415,Товары!$A$2:$A$51,0)),""))</f>
        <v/>
      </c>
      <c r="E415" s="8">
        <f>IF(OR(B415="",D415=""),"",C415*D415)</f>
        <v/>
      </c>
      <c r="F415" s="8">
        <f>IF(B415="","",IFERROR(C415*INDEX(Товары!$J$2:$J$51,MATCH(B415,Товары!$A$2:$A$51,0)),""))</f>
        <v/>
      </c>
      <c r="G415" s="2">
        <f>IF(A415="","",YEAR(A415)&amp;"-"&amp;TEXT(MONTH(A415),"00"))</f>
        <v/>
      </c>
    </row>
    <row r="416">
      <c r="A416" s="2" t="n"/>
      <c r="B416" s="2" t="n"/>
      <c r="C416" s="2" t="n"/>
      <c r="D416" s="8">
        <f>IF(B416="","",IFERROR(INDEX(Товары!$F$2:$F$51,MATCH(B416,Товары!$A$2:$A$51,0)),""))</f>
        <v/>
      </c>
      <c r="E416" s="8">
        <f>IF(OR(B416="",D416=""),"",C416*D416)</f>
        <v/>
      </c>
      <c r="F416" s="8">
        <f>IF(B416="","",IFERROR(C416*INDEX(Товары!$J$2:$J$51,MATCH(B416,Товары!$A$2:$A$51,0)),""))</f>
        <v/>
      </c>
      <c r="G416" s="2">
        <f>IF(A416="","",YEAR(A416)&amp;"-"&amp;TEXT(MONTH(A416),"00"))</f>
        <v/>
      </c>
    </row>
    <row r="417">
      <c r="A417" s="2" t="n"/>
      <c r="B417" s="2" t="n"/>
      <c r="C417" s="2" t="n"/>
      <c r="D417" s="8">
        <f>IF(B417="","",IFERROR(INDEX(Товары!$F$2:$F$51,MATCH(B417,Товары!$A$2:$A$51,0)),""))</f>
        <v/>
      </c>
      <c r="E417" s="8">
        <f>IF(OR(B417="",D417=""),"",C417*D417)</f>
        <v/>
      </c>
      <c r="F417" s="8">
        <f>IF(B417="","",IFERROR(C417*INDEX(Товары!$J$2:$J$51,MATCH(B417,Товары!$A$2:$A$51,0)),""))</f>
        <v/>
      </c>
      <c r="G417" s="2">
        <f>IF(A417="","",YEAR(A417)&amp;"-"&amp;TEXT(MONTH(A417),"00"))</f>
        <v/>
      </c>
    </row>
    <row r="418">
      <c r="A418" s="2" t="n"/>
      <c r="B418" s="2" t="n"/>
      <c r="C418" s="2" t="n"/>
      <c r="D418" s="8">
        <f>IF(B418="","",IFERROR(INDEX(Товары!$F$2:$F$51,MATCH(B418,Товары!$A$2:$A$51,0)),""))</f>
        <v/>
      </c>
      <c r="E418" s="8">
        <f>IF(OR(B418="",D418=""),"",C418*D418)</f>
        <v/>
      </c>
      <c r="F418" s="8">
        <f>IF(B418="","",IFERROR(C418*INDEX(Товары!$J$2:$J$51,MATCH(B418,Товары!$A$2:$A$51,0)),""))</f>
        <v/>
      </c>
      <c r="G418" s="2">
        <f>IF(A418="","",YEAR(A418)&amp;"-"&amp;TEXT(MONTH(A418),"00"))</f>
        <v/>
      </c>
    </row>
    <row r="419">
      <c r="A419" s="2" t="n"/>
      <c r="B419" s="2" t="n"/>
      <c r="C419" s="2" t="n"/>
      <c r="D419" s="8">
        <f>IF(B419="","",IFERROR(INDEX(Товары!$F$2:$F$51,MATCH(B419,Товары!$A$2:$A$51,0)),""))</f>
        <v/>
      </c>
      <c r="E419" s="8">
        <f>IF(OR(B419="",D419=""),"",C419*D419)</f>
        <v/>
      </c>
      <c r="F419" s="8">
        <f>IF(B419="","",IFERROR(C419*INDEX(Товары!$J$2:$J$51,MATCH(B419,Товары!$A$2:$A$51,0)),""))</f>
        <v/>
      </c>
      <c r="G419" s="2">
        <f>IF(A419="","",YEAR(A419)&amp;"-"&amp;TEXT(MONTH(A419),"00"))</f>
        <v/>
      </c>
    </row>
    <row r="420">
      <c r="A420" s="2" t="n"/>
      <c r="B420" s="2" t="n"/>
      <c r="C420" s="2" t="n"/>
      <c r="D420" s="8">
        <f>IF(B420="","",IFERROR(INDEX(Товары!$F$2:$F$51,MATCH(B420,Товары!$A$2:$A$51,0)),""))</f>
        <v/>
      </c>
      <c r="E420" s="8">
        <f>IF(OR(B420="",D420=""),"",C420*D420)</f>
        <v/>
      </c>
      <c r="F420" s="8">
        <f>IF(B420="","",IFERROR(C420*INDEX(Товары!$J$2:$J$51,MATCH(B420,Товары!$A$2:$A$51,0)),""))</f>
        <v/>
      </c>
      <c r="G420" s="2">
        <f>IF(A420="","",YEAR(A420)&amp;"-"&amp;TEXT(MONTH(A420),"00"))</f>
        <v/>
      </c>
    </row>
    <row r="421">
      <c r="A421" s="2" t="n"/>
      <c r="B421" s="2" t="n"/>
      <c r="C421" s="2" t="n"/>
      <c r="D421" s="8">
        <f>IF(B421="","",IFERROR(INDEX(Товары!$F$2:$F$51,MATCH(B421,Товары!$A$2:$A$51,0)),""))</f>
        <v/>
      </c>
      <c r="E421" s="8">
        <f>IF(OR(B421="",D421=""),"",C421*D421)</f>
        <v/>
      </c>
      <c r="F421" s="8">
        <f>IF(B421="","",IFERROR(C421*INDEX(Товары!$J$2:$J$51,MATCH(B421,Товары!$A$2:$A$51,0)),""))</f>
        <v/>
      </c>
      <c r="G421" s="2">
        <f>IF(A421="","",YEAR(A421)&amp;"-"&amp;TEXT(MONTH(A421),"00"))</f>
        <v/>
      </c>
    </row>
    <row r="422">
      <c r="A422" s="2" t="n"/>
      <c r="B422" s="2" t="n"/>
      <c r="C422" s="2" t="n"/>
      <c r="D422" s="8">
        <f>IF(B422="","",IFERROR(INDEX(Товары!$F$2:$F$51,MATCH(B422,Товары!$A$2:$A$51,0)),""))</f>
        <v/>
      </c>
      <c r="E422" s="8">
        <f>IF(OR(B422="",D422=""),"",C422*D422)</f>
        <v/>
      </c>
      <c r="F422" s="8">
        <f>IF(B422="","",IFERROR(C422*INDEX(Товары!$J$2:$J$51,MATCH(B422,Товары!$A$2:$A$51,0)),""))</f>
        <v/>
      </c>
      <c r="G422" s="2">
        <f>IF(A422="","",YEAR(A422)&amp;"-"&amp;TEXT(MONTH(A422),"00"))</f>
        <v/>
      </c>
    </row>
    <row r="423">
      <c r="A423" s="2" t="n"/>
      <c r="B423" s="2" t="n"/>
      <c r="C423" s="2" t="n"/>
      <c r="D423" s="8">
        <f>IF(B423="","",IFERROR(INDEX(Товары!$F$2:$F$51,MATCH(B423,Товары!$A$2:$A$51,0)),""))</f>
        <v/>
      </c>
      <c r="E423" s="8">
        <f>IF(OR(B423="",D423=""),"",C423*D423)</f>
        <v/>
      </c>
      <c r="F423" s="8">
        <f>IF(B423="","",IFERROR(C423*INDEX(Товары!$J$2:$J$51,MATCH(B423,Товары!$A$2:$A$51,0)),""))</f>
        <v/>
      </c>
      <c r="G423" s="2">
        <f>IF(A423="","",YEAR(A423)&amp;"-"&amp;TEXT(MONTH(A423),"00"))</f>
        <v/>
      </c>
    </row>
    <row r="424">
      <c r="A424" s="2" t="n"/>
      <c r="B424" s="2" t="n"/>
      <c r="C424" s="2" t="n"/>
      <c r="D424" s="8">
        <f>IF(B424="","",IFERROR(INDEX(Товары!$F$2:$F$51,MATCH(B424,Товары!$A$2:$A$51,0)),""))</f>
        <v/>
      </c>
      <c r="E424" s="8">
        <f>IF(OR(B424="",D424=""),"",C424*D424)</f>
        <v/>
      </c>
      <c r="F424" s="8">
        <f>IF(B424="","",IFERROR(C424*INDEX(Товары!$J$2:$J$51,MATCH(B424,Товары!$A$2:$A$51,0)),""))</f>
        <v/>
      </c>
      <c r="G424" s="2">
        <f>IF(A424="","",YEAR(A424)&amp;"-"&amp;TEXT(MONTH(A424),"00"))</f>
        <v/>
      </c>
    </row>
    <row r="425">
      <c r="A425" s="2" t="n"/>
      <c r="B425" s="2" t="n"/>
      <c r="C425" s="2" t="n"/>
      <c r="D425" s="8">
        <f>IF(B425="","",IFERROR(INDEX(Товары!$F$2:$F$51,MATCH(B425,Товары!$A$2:$A$51,0)),""))</f>
        <v/>
      </c>
      <c r="E425" s="8">
        <f>IF(OR(B425="",D425=""),"",C425*D425)</f>
        <v/>
      </c>
      <c r="F425" s="8">
        <f>IF(B425="","",IFERROR(C425*INDEX(Товары!$J$2:$J$51,MATCH(B425,Товары!$A$2:$A$51,0)),""))</f>
        <v/>
      </c>
      <c r="G425" s="2">
        <f>IF(A425="","",YEAR(A425)&amp;"-"&amp;TEXT(MONTH(A425),"00"))</f>
        <v/>
      </c>
    </row>
    <row r="426">
      <c r="A426" s="2" t="n"/>
      <c r="B426" s="2" t="n"/>
      <c r="C426" s="2" t="n"/>
      <c r="D426" s="8">
        <f>IF(B426="","",IFERROR(INDEX(Товары!$F$2:$F$51,MATCH(B426,Товары!$A$2:$A$51,0)),""))</f>
        <v/>
      </c>
      <c r="E426" s="8">
        <f>IF(OR(B426="",D426=""),"",C426*D426)</f>
        <v/>
      </c>
      <c r="F426" s="8">
        <f>IF(B426="","",IFERROR(C426*INDEX(Товары!$J$2:$J$51,MATCH(B426,Товары!$A$2:$A$51,0)),""))</f>
        <v/>
      </c>
      <c r="G426" s="2">
        <f>IF(A426="","",YEAR(A426)&amp;"-"&amp;TEXT(MONTH(A426),"00"))</f>
        <v/>
      </c>
    </row>
    <row r="427">
      <c r="A427" s="2" t="n"/>
      <c r="B427" s="2" t="n"/>
      <c r="C427" s="2" t="n"/>
      <c r="D427" s="8">
        <f>IF(B427="","",IFERROR(INDEX(Товары!$F$2:$F$51,MATCH(B427,Товары!$A$2:$A$51,0)),""))</f>
        <v/>
      </c>
      <c r="E427" s="8">
        <f>IF(OR(B427="",D427=""),"",C427*D427)</f>
        <v/>
      </c>
      <c r="F427" s="8">
        <f>IF(B427="","",IFERROR(C427*INDEX(Товары!$J$2:$J$51,MATCH(B427,Товары!$A$2:$A$51,0)),""))</f>
        <v/>
      </c>
      <c r="G427" s="2">
        <f>IF(A427="","",YEAR(A427)&amp;"-"&amp;TEXT(MONTH(A427),"00"))</f>
        <v/>
      </c>
    </row>
    <row r="428">
      <c r="A428" s="2" t="n"/>
      <c r="B428" s="2" t="n"/>
      <c r="C428" s="2" t="n"/>
      <c r="D428" s="8">
        <f>IF(B428="","",IFERROR(INDEX(Товары!$F$2:$F$51,MATCH(B428,Товары!$A$2:$A$51,0)),""))</f>
        <v/>
      </c>
      <c r="E428" s="8">
        <f>IF(OR(B428="",D428=""),"",C428*D428)</f>
        <v/>
      </c>
      <c r="F428" s="8">
        <f>IF(B428="","",IFERROR(C428*INDEX(Товары!$J$2:$J$51,MATCH(B428,Товары!$A$2:$A$51,0)),""))</f>
        <v/>
      </c>
      <c r="G428" s="2">
        <f>IF(A428="","",YEAR(A428)&amp;"-"&amp;TEXT(MONTH(A428),"00"))</f>
        <v/>
      </c>
    </row>
    <row r="429">
      <c r="A429" s="2" t="n"/>
      <c r="B429" s="2" t="n"/>
      <c r="C429" s="2" t="n"/>
      <c r="D429" s="8">
        <f>IF(B429="","",IFERROR(INDEX(Товары!$F$2:$F$51,MATCH(B429,Товары!$A$2:$A$51,0)),""))</f>
        <v/>
      </c>
      <c r="E429" s="8">
        <f>IF(OR(B429="",D429=""),"",C429*D429)</f>
        <v/>
      </c>
      <c r="F429" s="8">
        <f>IF(B429="","",IFERROR(C429*INDEX(Товары!$J$2:$J$51,MATCH(B429,Товары!$A$2:$A$51,0)),""))</f>
        <v/>
      </c>
      <c r="G429" s="2">
        <f>IF(A429="","",YEAR(A429)&amp;"-"&amp;TEXT(MONTH(A429),"00"))</f>
        <v/>
      </c>
    </row>
    <row r="430">
      <c r="A430" s="2" t="n"/>
      <c r="B430" s="2" t="n"/>
      <c r="C430" s="2" t="n"/>
      <c r="D430" s="8">
        <f>IF(B430="","",IFERROR(INDEX(Товары!$F$2:$F$51,MATCH(B430,Товары!$A$2:$A$51,0)),""))</f>
        <v/>
      </c>
      <c r="E430" s="8">
        <f>IF(OR(B430="",D430=""),"",C430*D430)</f>
        <v/>
      </c>
      <c r="F430" s="8">
        <f>IF(B430="","",IFERROR(C430*INDEX(Товары!$J$2:$J$51,MATCH(B430,Товары!$A$2:$A$51,0)),""))</f>
        <v/>
      </c>
      <c r="G430" s="2">
        <f>IF(A430="","",YEAR(A430)&amp;"-"&amp;TEXT(MONTH(A430),"00"))</f>
        <v/>
      </c>
    </row>
    <row r="431">
      <c r="A431" s="2" t="n"/>
      <c r="B431" s="2" t="n"/>
      <c r="C431" s="2" t="n"/>
      <c r="D431" s="8">
        <f>IF(B431="","",IFERROR(INDEX(Товары!$F$2:$F$51,MATCH(B431,Товары!$A$2:$A$51,0)),""))</f>
        <v/>
      </c>
      <c r="E431" s="8">
        <f>IF(OR(B431="",D431=""),"",C431*D431)</f>
        <v/>
      </c>
      <c r="F431" s="8">
        <f>IF(B431="","",IFERROR(C431*INDEX(Товары!$J$2:$J$51,MATCH(B431,Товары!$A$2:$A$51,0)),""))</f>
        <v/>
      </c>
      <c r="G431" s="2">
        <f>IF(A431="","",YEAR(A431)&amp;"-"&amp;TEXT(MONTH(A431),"00"))</f>
        <v/>
      </c>
    </row>
    <row r="432">
      <c r="A432" s="2" t="n"/>
      <c r="B432" s="2" t="n"/>
      <c r="C432" s="2" t="n"/>
      <c r="D432" s="8">
        <f>IF(B432="","",IFERROR(INDEX(Товары!$F$2:$F$51,MATCH(B432,Товары!$A$2:$A$51,0)),""))</f>
        <v/>
      </c>
      <c r="E432" s="8">
        <f>IF(OR(B432="",D432=""),"",C432*D432)</f>
        <v/>
      </c>
      <c r="F432" s="8">
        <f>IF(B432="","",IFERROR(C432*INDEX(Товары!$J$2:$J$51,MATCH(B432,Товары!$A$2:$A$51,0)),""))</f>
        <v/>
      </c>
      <c r="G432" s="2">
        <f>IF(A432="","",YEAR(A432)&amp;"-"&amp;TEXT(MONTH(A432),"00"))</f>
        <v/>
      </c>
    </row>
    <row r="433">
      <c r="A433" s="2" t="n"/>
      <c r="B433" s="2" t="n"/>
      <c r="C433" s="2" t="n"/>
      <c r="D433" s="8">
        <f>IF(B433="","",IFERROR(INDEX(Товары!$F$2:$F$51,MATCH(B433,Товары!$A$2:$A$51,0)),""))</f>
        <v/>
      </c>
      <c r="E433" s="8">
        <f>IF(OR(B433="",D433=""),"",C433*D433)</f>
        <v/>
      </c>
      <c r="F433" s="8">
        <f>IF(B433="","",IFERROR(C433*INDEX(Товары!$J$2:$J$51,MATCH(B433,Товары!$A$2:$A$51,0)),""))</f>
        <v/>
      </c>
      <c r="G433" s="2">
        <f>IF(A433="","",YEAR(A433)&amp;"-"&amp;TEXT(MONTH(A433),"00"))</f>
        <v/>
      </c>
    </row>
    <row r="434">
      <c r="A434" s="2" t="n"/>
      <c r="B434" s="2" t="n"/>
      <c r="C434" s="2" t="n"/>
      <c r="D434" s="8">
        <f>IF(B434="","",IFERROR(INDEX(Товары!$F$2:$F$51,MATCH(B434,Товары!$A$2:$A$51,0)),""))</f>
        <v/>
      </c>
      <c r="E434" s="8">
        <f>IF(OR(B434="",D434=""),"",C434*D434)</f>
        <v/>
      </c>
      <c r="F434" s="8">
        <f>IF(B434="","",IFERROR(C434*INDEX(Товары!$J$2:$J$51,MATCH(B434,Товары!$A$2:$A$51,0)),""))</f>
        <v/>
      </c>
      <c r="G434" s="2">
        <f>IF(A434="","",YEAR(A434)&amp;"-"&amp;TEXT(MONTH(A434),"00"))</f>
        <v/>
      </c>
    </row>
    <row r="435">
      <c r="A435" s="2" t="n"/>
      <c r="B435" s="2" t="n"/>
      <c r="C435" s="2" t="n"/>
      <c r="D435" s="8">
        <f>IF(B435="","",IFERROR(INDEX(Товары!$F$2:$F$51,MATCH(B435,Товары!$A$2:$A$51,0)),""))</f>
        <v/>
      </c>
      <c r="E435" s="8">
        <f>IF(OR(B435="",D435=""),"",C435*D435)</f>
        <v/>
      </c>
      <c r="F435" s="8">
        <f>IF(B435="","",IFERROR(C435*INDEX(Товары!$J$2:$J$51,MATCH(B435,Товары!$A$2:$A$51,0)),""))</f>
        <v/>
      </c>
      <c r="G435" s="2">
        <f>IF(A435="","",YEAR(A435)&amp;"-"&amp;TEXT(MONTH(A435),"00"))</f>
        <v/>
      </c>
    </row>
    <row r="436">
      <c r="A436" s="2" t="n"/>
      <c r="B436" s="2" t="n"/>
      <c r="C436" s="2" t="n"/>
      <c r="D436" s="8">
        <f>IF(B436="","",IFERROR(INDEX(Товары!$F$2:$F$51,MATCH(B436,Товары!$A$2:$A$51,0)),""))</f>
        <v/>
      </c>
      <c r="E436" s="8">
        <f>IF(OR(B436="",D436=""),"",C436*D436)</f>
        <v/>
      </c>
      <c r="F436" s="8">
        <f>IF(B436="","",IFERROR(C436*INDEX(Товары!$J$2:$J$51,MATCH(B436,Товары!$A$2:$A$51,0)),""))</f>
        <v/>
      </c>
      <c r="G436" s="2">
        <f>IF(A436="","",YEAR(A436)&amp;"-"&amp;TEXT(MONTH(A436),"00"))</f>
        <v/>
      </c>
    </row>
    <row r="437">
      <c r="A437" s="2" t="n"/>
      <c r="B437" s="2" t="n"/>
      <c r="C437" s="2" t="n"/>
      <c r="D437" s="8">
        <f>IF(B437="","",IFERROR(INDEX(Товары!$F$2:$F$51,MATCH(B437,Товары!$A$2:$A$51,0)),""))</f>
        <v/>
      </c>
      <c r="E437" s="8">
        <f>IF(OR(B437="",D437=""),"",C437*D437)</f>
        <v/>
      </c>
      <c r="F437" s="8">
        <f>IF(B437="","",IFERROR(C437*INDEX(Товары!$J$2:$J$51,MATCH(B437,Товары!$A$2:$A$51,0)),""))</f>
        <v/>
      </c>
      <c r="G437" s="2">
        <f>IF(A437="","",YEAR(A437)&amp;"-"&amp;TEXT(MONTH(A437),"00"))</f>
        <v/>
      </c>
    </row>
    <row r="438">
      <c r="A438" s="2" t="n"/>
      <c r="B438" s="2" t="n"/>
      <c r="C438" s="2" t="n"/>
      <c r="D438" s="8">
        <f>IF(B438="","",IFERROR(INDEX(Товары!$F$2:$F$51,MATCH(B438,Товары!$A$2:$A$51,0)),""))</f>
        <v/>
      </c>
      <c r="E438" s="8">
        <f>IF(OR(B438="",D438=""),"",C438*D438)</f>
        <v/>
      </c>
      <c r="F438" s="8">
        <f>IF(B438="","",IFERROR(C438*INDEX(Товары!$J$2:$J$51,MATCH(B438,Товары!$A$2:$A$51,0)),""))</f>
        <v/>
      </c>
      <c r="G438" s="2">
        <f>IF(A438="","",YEAR(A438)&amp;"-"&amp;TEXT(MONTH(A438),"00"))</f>
        <v/>
      </c>
    </row>
    <row r="439">
      <c r="A439" s="2" t="n"/>
      <c r="B439" s="2" t="n"/>
      <c r="C439" s="2" t="n"/>
      <c r="D439" s="8">
        <f>IF(B439="","",IFERROR(INDEX(Товары!$F$2:$F$51,MATCH(B439,Товары!$A$2:$A$51,0)),""))</f>
        <v/>
      </c>
      <c r="E439" s="8">
        <f>IF(OR(B439="",D439=""),"",C439*D439)</f>
        <v/>
      </c>
      <c r="F439" s="8">
        <f>IF(B439="","",IFERROR(C439*INDEX(Товары!$J$2:$J$51,MATCH(B439,Товары!$A$2:$A$51,0)),""))</f>
        <v/>
      </c>
      <c r="G439" s="2">
        <f>IF(A439="","",YEAR(A439)&amp;"-"&amp;TEXT(MONTH(A439),"00"))</f>
        <v/>
      </c>
    </row>
    <row r="440">
      <c r="A440" s="2" t="n"/>
      <c r="B440" s="2" t="n"/>
      <c r="C440" s="2" t="n"/>
      <c r="D440" s="8">
        <f>IF(B440="","",IFERROR(INDEX(Товары!$F$2:$F$51,MATCH(B440,Товары!$A$2:$A$51,0)),""))</f>
        <v/>
      </c>
      <c r="E440" s="8">
        <f>IF(OR(B440="",D440=""),"",C440*D440)</f>
        <v/>
      </c>
      <c r="F440" s="8">
        <f>IF(B440="","",IFERROR(C440*INDEX(Товары!$J$2:$J$51,MATCH(B440,Товары!$A$2:$A$51,0)),""))</f>
        <v/>
      </c>
      <c r="G440" s="2">
        <f>IF(A440="","",YEAR(A440)&amp;"-"&amp;TEXT(MONTH(A440),"00"))</f>
        <v/>
      </c>
    </row>
    <row r="441">
      <c r="A441" s="2" t="n"/>
      <c r="B441" s="2" t="n"/>
      <c r="C441" s="2" t="n"/>
      <c r="D441" s="8">
        <f>IF(B441="","",IFERROR(INDEX(Товары!$F$2:$F$51,MATCH(B441,Товары!$A$2:$A$51,0)),""))</f>
        <v/>
      </c>
      <c r="E441" s="8">
        <f>IF(OR(B441="",D441=""),"",C441*D441)</f>
        <v/>
      </c>
      <c r="F441" s="8">
        <f>IF(B441="","",IFERROR(C441*INDEX(Товары!$J$2:$J$51,MATCH(B441,Товары!$A$2:$A$51,0)),""))</f>
        <v/>
      </c>
      <c r="G441" s="2">
        <f>IF(A441="","",YEAR(A441)&amp;"-"&amp;TEXT(MONTH(A441),"00"))</f>
        <v/>
      </c>
    </row>
    <row r="442">
      <c r="A442" s="2" t="n"/>
      <c r="B442" s="2" t="n"/>
      <c r="C442" s="2" t="n"/>
      <c r="D442" s="8">
        <f>IF(B442="","",IFERROR(INDEX(Товары!$F$2:$F$51,MATCH(B442,Товары!$A$2:$A$51,0)),""))</f>
        <v/>
      </c>
      <c r="E442" s="8">
        <f>IF(OR(B442="",D442=""),"",C442*D442)</f>
        <v/>
      </c>
      <c r="F442" s="8">
        <f>IF(B442="","",IFERROR(C442*INDEX(Товары!$J$2:$J$51,MATCH(B442,Товары!$A$2:$A$51,0)),""))</f>
        <v/>
      </c>
      <c r="G442" s="2">
        <f>IF(A442="","",YEAR(A442)&amp;"-"&amp;TEXT(MONTH(A442),"00"))</f>
        <v/>
      </c>
    </row>
    <row r="443">
      <c r="A443" s="2" t="n"/>
      <c r="B443" s="2" t="n"/>
      <c r="C443" s="2" t="n"/>
      <c r="D443" s="8">
        <f>IF(B443="","",IFERROR(INDEX(Товары!$F$2:$F$51,MATCH(B443,Товары!$A$2:$A$51,0)),""))</f>
        <v/>
      </c>
      <c r="E443" s="8">
        <f>IF(OR(B443="",D443=""),"",C443*D443)</f>
        <v/>
      </c>
      <c r="F443" s="8">
        <f>IF(B443="","",IFERROR(C443*INDEX(Товары!$J$2:$J$51,MATCH(B443,Товары!$A$2:$A$51,0)),""))</f>
        <v/>
      </c>
      <c r="G443" s="2">
        <f>IF(A443="","",YEAR(A443)&amp;"-"&amp;TEXT(MONTH(A443),"00"))</f>
        <v/>
      </c>
    </row>
    <row r="444">
      <c r="A444" s="2" t="n"/>
      <c r="B444" s="2" t="n"/>
      <c r="C444" s="2" t="n"/>
      <c r="D444" s="8">
        <f>IF(B444="","",IFERROR(INDEX(Товары!$F$2:$F$51,MATCH(B444,Товары!$A$2:$A$51,0)),""))</f>
        <v/>
      </c>
      <c r="E444" s="8">
        <f>IF(OR(B444="",D444=""),"",C444*D444)</f>
        <v/>
      </c>
      <c r="F444" s="8">
        <f>IF(B444="","",IFERROR(C444*INDEX(Товары!$J$2:$J$51,MATCH(B444,Товары!$A$2:$A$51,0)),""))</f>
        <v/>
      </c>
      <c r="G444" s="2">
        <f>IF(A444="","",YEAR(A444)&amp;"-"&amp;TEXT(MONTH(A444),"00"))</f>
        <v/>
      </c>
    </row>
    <row r="445">
      <c r="A445" s="2" t="n"/>
      <c r="B445" s="2" t="n"/>
      <c r="C445" s="2" t="n"/>
      <c r="D445" s="8">
        <f>IF(B445="","",IFERROR(INDEX(Товары!$F$2:$F$51,MATCH(B445,Товары!$A$2:$A$51,0)),""))</f>
        <v/>
      </c>
      <c r="E445" s="8">
        <f>IF(OR(B445="",D445=""),"",C445*D445)</f>
        <v/>
      </c>
      <c r="F445" s="8">
        <f>IF(B445="","",IFERROR(C445*INDEX(Товары!$J$2:$J$51,MATCH(B445,Товары!$A$2:$A$51,0)),""))</f>
        <v/>
      </c>
      <c r="G445" s="2">
        <f>IF(A445="","",YEAR(A445)&amp;"-"&amp;TEXT(MONTH(A445),"00"))</f>
        <v/>
      </c>
    </row>
    <row r="446">
      <c r="A446" s="2" t="n"/>
      <c r="B446" s="2" t="n"/>
      <c r="C446" s="2" t="n"/>
      <c r="D446" s="8">
        <f>IF(B446="","",IFERROR(INDEX(Товары!$F$2:$F$51,MATCH(B446,Товары!$A$2:$A$51,0)),""))</f>
        <v/>
      </c>
      <c r="E446" s="8">
        <f>IF(OR(B446="",D446=""),"",C446*D446)</f>
        <v/>
      </c>
      <c r="F446" s="8">
        <f>IF(B446="","",IFERROR(C446*INDEX(Товары!$J$2:$J$51,MATCH(B446,Товары!$A$2:$A$51,0)),""))</f>
        <v/>
      </c>
      <c r="G446" s="2">
        <f>IF(A446="","",YEAR(A446)&amp;"-"&amp;TEXT(MONTH(A446),"00"))</f>
        <v/>
      </c>
    </row>
    <row r="447">
      <c r="A447" s="2" t="n"/>
      <c r="B447" s="2" t="n"/>
      <c r="C447" s="2" t="n"/>
      <c r="D447" s="8">
        <f>IF(B447="","",IFERROR(INDEX(Товары!$F$2:$F$51,MATCH(B447,Товары!$A$2:$A$51,0)),""))</f>
        <v/>
      </c>
      <c r="E447" s="8">
        <f>IF(OR(B447="",D447=""),"",C447*D447)</f>
        <v/>
      </c>
      <c r="F447" s="8">
        <f>IF(B447="","",IFERROR(C447*INDEX(Товары!$J$2:$J$51,MATCH(B447,Товары!$A$2:$A$51,0)),""))</f>
        <v/>
      </c>
      <c r="G447" s="2">
        <f>IF(A447="","",YEAR(A447)&amp;"-"&amp;TEXT(MONTH(A447),"00"))</f>
        <v/>
      </c>
    </row>
    <row r="448">
      <c r="A448" s="2" t="n"/>
      <c r="B448" s="2" t="n"/>
      <c r="C448" s="2" t="n"/>
      <c r="D448" s="8">
        <f>IF(B448="","",IFERROR(INDEX(Товары!$F$2:$F$51,MATCH(B448,Товары!$A$2:$A$51,0)),""))</f>
        <v/>
      </c>
      <c r="E448" s="8">
        <f>IF(OR(B448="",D448=""),"",C448*D448)</f>
        <v/>
      </c>
      <c r="F448" s="8">
        <f>IF(B448="","",IFERROR(C448*INDEX(Товары!$J$2:$J$51,MATCH(B448,Товары!$A$2:$A$51,0)),""))</f>
        <v/>
      </c>
      <c r="G448" s="2">
        <f>IF(A448="","",YEAR(A448)&amp;"-"&amp;TEXT(MONTH(A448),"00"))</f>
        <v/>
      </c>
    </row>
    <row r="449">
      <c r="A449" s="2" t="n"/>
      <c r="B449" s="2" t="n"/>
      <c r="C449" s="2" t="n"/>
      <c r="D449" s="8">
        <f>IF(B449="","",IFERROR(INDEX(Товары!$F$2:$F$51,MATCH(B449,Товары!$A$2:$A$51,0)),""))</f>
        <v/>
      </c>
      <c r="E449" s="8">
        <f>IF(OR(B449="",D449=""),"",C449*D449)</f>
        <v/>
      </c>
      <c r="F449" s="8">
        <f>IF(B449="","",IFERROR(C449*INDEX(Товары!$J$2:$J$51,MATCH(B449,Товары!$A$2:$A$51,0)),""))</f>
        <v/>
      </c>
      <c r="G449" s="2">
        <f>IF(A449="","",YEAR(A449)&amp;"-"&amp;TEXT(MONTH(A449),"00"))</f>
        <v/>
      </c>
    </row>
    <row r="450">
      <c r="A450" s="2" t="n"/>
      <c r="B450" s="2" t="n"/>
      <c r="C450" s="2" t="n"/>
      <c r="D450" s="8">
        <f>IF(B450="","",IFERROR(INDEX(Товары!$F$2:$F$51,MATCH(B450,Товары!$A$2:$A$51,0)),""))</f>
        <v/>
      </c>
      <c r="E450" s="8">
        <f>IF(OR(B450="",D450=""),"",C450*D450)</f>
        <v/>
      </c>
      <c r="F450" s="8">
        <f>IF(B450="","",IFERROR(C450*INDEX(Товары!$J$2:$J$51,MATCH(B450,Товары!$A$2:$A$51,0)),""))</f>
        <v/>
      </c>
      <c r="G450" s="2">
        <f>IF(A450="","",YEAR(A450)&amp;"-"&amp;TEXT(MONTH(A450),"00"))</f>
        <v/>
      </c>
    </row>
    <row r="451">
      <c r="A451" s="2" t="n"/>
      <c r="B451" s="2" t="n"/>
      <c r="C451" s="2" t="n"/>
      <c r="D451" s="8">
        <f>IF(B451="","",IFERROR(INDEX(Товары!$F$2:$F$51,MATCH(B451,Товары!$A$2:$A$51,0)),""))</f>
        <v/>
      </c>
      <c r="E451" s="8">
        <f>IF(OR(B451="",D451=""),"",C451*D451)</f>
        <v/>
      </c>
      <c r="F451" s="8">
        <f>IF(B451="","",IFERROR(C451*INDEX(Товары!$J$2:$J$51,MATCH(B451,Товары!$A$2:$A$51,0)),""))</f>
        <v/>
      </c>
      <c r="G451" s="2">
        <f>IF(A451="","",YEAR(A451)&amp;"-"&amp;TEXT(MONTH(A451),"00"))</f>
        <v/>
      </c>
    </row>
    <row r="452">
      <c r="A452" s="2" t="n"/>
      <c r="B452" s="2" t="n"/>
      <c r="C452" s="2" t="n"/>
      <c r="D452" s="8">
        <f>IF(B452="","",IFERROR(INDEX(Товары!$F$2:$F$51,MATCH(B452,Товары!$A$2:$A$51,0)),""))</f>
        <v/>
      </c>
      <c r="E452" s="8">
        <f>IF(OR(B452="",D452=""),"",C452*D452)</f>
        <v/>
      </c>
      <c r="F452" s="8">
        <f>IF(B452="","",IFERROR(C452*INDEX(Товары!$J$2:$J$51,MATCH(B452,Товары!$A$2:$A$51,0)),""))</f>
        <v/>
      </c>
      <c r="G452" s="2">
        <f>IF(A452="","",YEAR(A452)&amp;"-"&amp;TEXT(MONTH(A452),"00"))</f>
        <v/>
      </c>
    </row>
    <row r="453">
      <c r="A453" s="2" t="n"/>
      <c r="B453" s="2" t="n"/>
      <c r="C453" s="2" t="n"/>
      <c r="D453" s="8">
        <f>IF(B453="","",IFERROR(INDEX(Товары!$F$2:$F$51,MATCH(B453,Товары!$A$2:$A$51,0)),""))</f>
        <v/>
      </c>
      <c r="E453" s="8">
        <f>IF(OR(B453="",D453=""),"",C453*D453)</f>
        <v/>
      </c>
      <c r="F453" s="8">
        <f>IF(B453="","",IFERROR(C453*INDEX(Товары!$J$2:$J$51,MATCH(B453,Товары!$A$2:$A$51,0)),""))</f>
        <v/>
      </c>
      <c r="G453" s="2">
        <f>IF(A453="","",YEAR(A453)&amp;"-"&amp;TEXT(MONTH(A453),"00"))</f>
        <v/>
      </c>
    </row>
    <row r="454">
      <c r="A454" s="2" t="n"/>
      <c r="B454" s="2" t="n"/>
      <c r="C454" s="2" t="n"/>
      <c r="D454" s="8">
        <f>IF(B454="","",IFERROR(INDEX(Товары!$F$2:$F$51,MATCH(B454,Товары!$A$2:$A$51,0)),""))</f>
        <v/>
      </c>
      <c r="E454" s="8">
        <f>IF(OR(B454="",D454=""),"",C454*D454)</f>
        <v/>
      </c>
      <c r="F454" s="8">
        <f>IF(B454="","",IFERROR(C454*INDEX(Товары!$J$2:$J$51,MATCH(B454,Товары!$A$2:$A$51,0)),""))</f>
        <v/>
      </c>
      <c r="G454" s="2">
        <f>IF(A454="","",YEAR(A454)&amp;"-"&amp;TEXT(MONTH(A454),"00"))</f>
        <v/>
      </c>
    </row>
    <row r="455">
      <c r="A455" s="2" t="n"/>
      <c r="B455" s="2" t="n"/>
      <c r="C455" s="2" t="n"/>
      <c r="D455" s="8">
        <f>IF(B455="","",IFERROR(INDEX(Товары!$F$2:$F$51,MATCH(B455,Товары!$A$2:$A$51,0)),""))</f>
        <v/>
      </c>
      <c r="E455" s="8">
        <f>IF(OR(B455="",D455=""),"",C455*D455)</f>
        <v/>
      </c>
      <c r="F455" s="8">
        <f>IF(B455="","",IFERROR(C455*INDEX(Товары!$J$2:$J$51,MATCH(B455,Товары!$A$2:$A$51,0)),""))</f>
        <v/>
      </c>
      <c r="G455" s="2">
        <f>IF(A455="","",YEAR(A455)&amp;"-"&amp;TEXT(MONTH(A455),"00"))</f>
        <v/>
      </c>
    </row>
    <row r="456">
      <c r="A456" s="2" t="n"/>
      <c r="B456" s="2" t="n"/>
      <c r="C456" s="2" t="n"/>
      <c r="D456" s="8">
        <f>IF(B456="","",IFERROR(INDEX(Товары!$F$2:$F$51,MATCH(B456,Товары!$A$2:$A$51,0)),""))</f>
        <v/>
      </c>
      <c r="E456" s="8">
        <f>IF(OR(B456="",D456=""),"",C456*D456)</f>
        <v/>
      </c>
      <c r="F456" s="8">
        <f>IF(B456="","",IFERROR(C456*INDEX(Товары!$J$2:$J$51,MATCH(B456,Товары!$A$2:$A$51,0)),""))</f>
        <v/>
      </c>
      <c r="G456" s="2">
        <f>IF(A456="","",YEAR(A456)&amp;"-"&amp;TEXT(MONTH(A456),"00"))</f>
        <v/>
      </c>
    </row>
    <row r="457">
      <c r="A457" s="2" t="n"/>
      <c r="B457" s="2" t="n"/>
      <c r="C457" s="2" t="n"/>
      <c r="D457" s="8">
        <f>IF(B457="","",IFERROR(INDEX(Товары!$F$2:$F$51,MATCH(B457,Товары!$A$2:$A$51,0)),""))</f>
        <v/>
      </c>
      <c r="E457" s="8">
        <f>IF(OR(B457="",D457=""),"",C457*D457)</f>
        <v/>
      </c>
      <c r="F457" s="8">
        <f>IF(B457="","",IFERROR(C457*INDEX(Товары!$J$2:$J$51,MATCH(B457,Товары!$A$2:$A$51,0)),""))</f>
        <v/>
      </c>
      <c r="G457" s="2">
        <f>IF(A457="","",YEAR(A457)&amp;"-"&amp;TEXT(MONTH(A457),"00"))</f>
        <v/>
      </c>
    </row>
    <row r="458">
      <c r="A458" s="2" t="n"/>
      <c r="B458" s="2" t="n"/>
      <c r="C458" s="2" t="n"/>
      <c r="D458" s="8">
        <f>IF(B458="","",IFERROR(INDEX(Товары!$F$2:$F$51,MATCH(B458,Товары!$A$2:$A$51,0)),""))</f>
        <v/>
      </c>
      <c r="E458" s="8">
        <f>IF(OR(B458="",D458=""),"",C458*D458)</f>
        <v/>
      </c>
      <c r="F458" s="8">
        <f>IF(B458="","",IFERROR(C458*INDEX(Товары!$J$2:$J$51,MATCH(B458,Товары!$A$2:$A$51,0)),""))</f>
        <v/>
      </c>
      <c r="G458" s="2">
        <f>IF(A458="","",YEAR(A458)&amp;"-"&amp;TEXT(MONTH(A458),"00"))</f>
        <v/>
      </c>
    </row>
    <row r="459">
      <c r="A459" s="2" t="n"/>
      <c r="B459" s="2" t="n"/>
      <c r="C459" s="2" t="n"/>
      <c r="D459" s="8">
        <f>IF(B459="","",IFERROR(INDEX(Товары!$F$2:$F$51,MATCH(B459,Товары!$A$2:$A$51,0)),""))</f>
        <v/>
      </c>
      <c r="E459" s="8">
        <f>IF(OR(B459="",D459=""),"",C459*D459)</f>
        <v/>
      </c>
      <c r="F459" s="8">
        <f>IF(B459="","",IFERROR(C459*INDEX(Товары!$J$2:$J$51,MATCH(B459,Товары!$A$2:$A$51,0)),""))</f>
        <v/>
      </c>
      <c r="G459" s="2">
        <f>IF(A459="","",YEAR(A459)&amp;"-"&amp;TEXT(MONTH(A459),"00"))</f>
        <v/>
      </c>
    </row>
    <row r="460">
      <c r="A460" s="2" t="n"/>
      <c r="B460" s="2" t="n"/>
      <c r="C460" s="2" t="n"/>
      <c r="D460" s="8">
        <f>IF(B460="","",IFERROR(INDEX(Товары!$F$2:$F$51,MATCH(B460,Товары!$A$2:$A$51,0)),""))</f>
        <v/>
      </c>
      <c r="E460" s="8">
        <f>IF(OR(B460="",D460=""),"",C460*D460)</f>
        <v/>
      </c>
      <c r="F460" s="8">
        <f>IF(B460="","",IFERROR(C460*INDEX(Товары!$J$2:$J$51,MATCH(B460,Товары!$A$2:$A$51,0)),""))</f>
        <v/>
      </c>
      <c r="G460" s="2">
        <f>IF(A460="","",YEAR(A460)&amp;"-"&amp;TEXT(MONTH(A460),"00"))</f>
        <v/>
      </c>
    </row>
    <row r="461">
      <c r="A461" s="2" t="n"/>
      <c r="B461" s="2" t="n"/>
      <c r="C461" s="2" t="n"/>
      <c r="D461" s="8">
        <f>IF(B461="","",IFERROR(INDEX(Товары!$F$2:$F$51,MATCH(B461,Товары!$A$2:$A$51,0)),""))</f>
        <v/>
      </c>
      <c r="E461" s="8">
        <f>IF(OR(B461="",D461=""),"",C461*D461)</f>
        <v/>
      </c>
      <c r="F461" s="8">
        <f>IF(B461="","",IFERROR(C461*INDEX(Товары!$J$2:$J$51,MATCH(B461,Товары!$A$2:$A$51,0)),""))</f>
        <v/>
      </c>
      <c r="G461" s="2">
        <f>IF(A461="","",YEAR(A461)&amp;"-"&amp;TEXT(MONTH(A461),"00"))</f>
        <v/>
      </c>
    </row>
    <row r="462">
      <c r="A462" s="2" t="n"/>
      <c r="B462" s="2" t="n"/>
      <c r="C462" s="2" t="n"/>
      <c r="D462" s="8">
        <f>IF(B462="","",IFERROR(INDEX(Товары!$F$2:$F$51,MATCH(B462,Товары!$A$2:$A$51,0)),""))</f>
        <v/>
      </c>
      <c r="E462" s="8">
        <f>IF(OR(B462="",D462=""),"",C462*D462)</f>
        <v/>
      </c>
      <c r="F462" s="8">
        <f>IF(B462="","",IFERROR(C462*INDEX(Товары!$J$2:$J$51,MATCH(B462,Товары!$A$2:$A$51,0)),""))</f>
        <v/>
      </c>
      <c r="G462" s="2">
        <f>IF(A462="","",YEAR(A462)&amp;"-"&amp;TEXT(MONTH(A462),"00"))</f>
        <v/>
      </c>
    </row>
    <row r="463">
      <c r="A463" s="2" t="n"/>
      <c r="B463" s="2" t="n"/>
      <c r="C463" s="2" t="n"/>
      <c r="D463" s="8">
        <f>IF(B463="","",IFERROR(INDEX(Товары!$F$2:$F$51,MATCH(B463,Товары!$A$2:$A$51,0)),""))</f>
        <v/>
      </c>
      <c r="E463" s="8">
        <f>IF(OR(B463="",D463=""),"",C463*D463)</f>
        <v/>
      </c>
      <c r="F463" s="8">
        <f>IF(B463="","",IFERROR(C463*INDEX(Товары!$J$2:$J$51,MATCH(B463,Товары!$A$2:$A$51,0)),""))</f>
        <v/>
      </c>
      <c r="G463" s="2">
        <f>IF(A463="","",YEAR(A463)&amp;"-"&amp;TEXT(MONTH(A463),"00"))</f>
        <v/>
      </c>
    </row>
    <row r="464">
      <c r="A464" s="2" t="n"/>
      <c r="B464" s="2" t="n"/>
      <c r="C464" s="2" t="n"/>
      <c r="D464" s="8">
        <f>IF(B464="","",IFERROR(INDEX(Товары!$F$2:$F$51,MATCH(B464,Товары!$A$2:$A$51,0)),""))</f>
        <v/>
      </c>
      <c r="E464" s="8">
        <f>IF(OR(B464="",D464=""),"",C464*D464)</f>
        <v/>
      </c>
      <c r="F464" s="8">
        <f>IF(B464="","",IFERROR(C464*INDEX(Товары!$J$2:$J$51,MATCH(B464,Товары!$A$2:$A$51,0)),""))</f>
        <v/>
      </c>
      <c r="G464" s="2">
        <f>IF(A464="","",YEAR(A464)&amp;"-"&amp;TEXT(MONTH(A464),"00"))</f>
        <v/>
      </c>
    </row>
    <row r="465">
      <c r="A465" s="2" t="n"/>
      <c r="B465" s="2" t="n"/>
      <c r="C465" s="2" t="n"/>
      <c r="D465" s="8">
        <f>IF(B465="","",IFERROR(INDEX(Товары!$F$2:$F$51,MATCH(B465,Товары!$A$2:$A$51,0)),""))</f>
        <v/>
      </c>
      <c r="E465" s="8">
        <f>IF(OR(B465="",D465=""),"",C465*D465)</f>
        <v/>
      </c>
      <c r="F465" s="8">
        <f>IF(B465="","",IFERROR(C465*INDEX(Товары!$J$2:$J$51,MATCH(B465,Товары!$A$2:$A$51,0)),""))</f>
        <v/>
      </c>
      <c r="G465" s="2">
        <f>IF(A465="","",YEAR(A465)&amp;"-"&amp;TEXT(MONTH(A465),"00"))</f>
        <v/>
      </c>
    </row>
    <row r="466">
      <c r="A466" s="2" t="n"/>
      <c r="B466" s="2" t="n"/>
      <c r="C466" s="2" t="n"/>
      <c r="D466" s="8">
        <f>IF(B466="","",IFERROR(INDEX(Товары!$F$2:$F$51,MATCH(B466,Товары!$A$2:$A$51,0)),""))</f>
        <v/>
      </c>
      <c r="E466" s="8">
        <f>IF(OR(B466="",D466=""),"",C466*D466)</f>
        <v/>
      </c>
      <c r="F466" s="8">
        <f>IF(B466="","",IFERROR(C466*INDEX(Товары!$J$2:$J$51,MATCH(B466,Товары!$A$2:$A$51,0)),""))</f>
        <v/>
      </c>
      <c r="G466" s="2">
        <f>IF(A466="","",YEAR(A466)&amp;"-"&amp;TEXT(MONTH(A466),"00"))</f>
        <v/>
      </c>
    </row>
    <row r="467">
      <c r="A467" s="2" t="n"/>
      <c r="B467" s="2" t="n"/>
      <c r="C467" s="2" t="n"/>
      <c r="D467" s="8">
        <f>IF(B467="","",IFERROR(INDEX(Товары!$F$2:$F$51,MATCH(B467,Товары!$A$2:$A$51,0)),""))</f>
        <v/>
      </c>
      <c r="E467" s="8">
        <f>IF(OR(B467="",D467=""),"",C467*D467)</f>
        <v/>
      </c>
      <c r="F467" s="8">
        <f>IF(B467="","",IFERROR(C467*INDEX(Товары!$J$2:$J$51,MATCH(B467,Товары!$A$2:$A$51,0)),""))</f>
        <v/>
      </c>
      <c r="G467" s="2">
        <f>IF(A467="","",YEAR(A467)&amp;"-"&amp;TEXT(MONTH(A467),"00"))</f>
        <v/>
      </c>
    </row>
    <row r="468">
      <c r="A468" s="2" t="n"/>
      <c r="B468" s="2" t="n"/>
      <c r="C468" s="2" t="n"/>
      <c r="D468" s="8">
        <f>IF(B468="","",IFERROR(INDEX(Товары!$F$2:$F$51,MATCH(B468,Товары!$A$2:$A$51,0)),""))</f>
        <v/>
      </c>
      <c r="E468" s="8">
        <f>IF(OR(B468="",D468=""),"",C468*D468)</f>
        <v/>
      </c>
      <c r="F468" s="8">
        <f>IF(B468="","",IFERROR(C468*INDEX(Товары!$J$2:$J$51,MATCH(B468,Товары!$A$2:$A$51,0)),""))</f>
        <v/>
      </c>
      <c r="G468" s="2">
        <f>IF(A468="","",YEAR(A468)&amp;"-"&amp;TEXT(MONTH(A468),"00"))</f>
        <v/>
      </c>
    </row>
    <row r="469">
      <c r="A469" s="2" t="n"/>
      <c r="B469" s="2" t="n"/>
      <c r="C469" s="2" t="n"/>
      <c r="D469" s="8">
        <f>IF(B469="","",IFERROR(INDEX(Товары!$F$2:$F$51,MATCH(B469,Товары!$A$2:$A$51,0)),""))</f>
        <v/>
      </c>
      <c r="E469" s="8">
        <f>IF(OR(B469="",D469=""),"",C469*D469)</f>
        <v/>
      </c>
      <c r="F469" s="8">
        <f>IF(B469="","",IFERROR(C469*INDEX(Товары!$J$2:$J$51,MATCH(B469,Товары!$A$2:$A$51,0)),""))</f>
        <v/>
      </c>
      <c r="G469" s="2">
        <f>IF(A469="","",YEAR(A469)&amp;"-"&amp;TEXT(MONTH(A469),"00"))</f>
        <v/>
      </c>
    </row>
    <row r="470">
      <c r="A470" s="2" t="n"/>
      <c r="B470" s="2" t="n"/>
      <c r="C470" s="2" t="n"/>
      <c r="D470" s="8">
        <f>IF(B470="","",IFERROR(INDEX(Товары!$F$2:$F$51,MATCH(B470,Товары!$A$2:$A$51,0)),""))</f>
        <v/>
      </c>
      <c r="E470" s="8">
        <f>IF(OR(B470="",D470=""),"",C470*D470)</f>
        <v/>
      </c>
      <c r="F470" s="8">
        <f>IF(B470="","",IFERROR(C470*INDEX(Товары!$J$2:$J$51,MATCH(B470,Товары!$A$2:$A$51,0)),""))</f>
        <v/>
      </c>
      <c r="G470" s="2">
        <f>IF(A470="","",YEAR(A470)&amp;"-"&amp;TEXT(MONTH(A470),"00"))</f>
        <v/>
      </c>
    </row>
    <row r="471">
      <c r="A471" s="2" t="n"/>
      <c r="B471" s="2" t="n"/>
      <c r="C471" s="2" t="n"/>
      <c r="D471" s="8">
        <f>IF(B471="","",IFERROR(INDEX(Товары!$F$2:$F$51,MATCH(B471,Товары!$A$2:$A$51,0)),""))</f>
        <v/>
      </c>
      <c r="E471" s="8">
        <f>IF(OR(B471="",D471=""),"",C471*D471)</f>
        <v/>
      </c>
      <c r="F471" s="8">
        <f>IF(B471="","",IFERROR(C471*INDEX(Товары!$J$2:$J$51,MATCH(B471,Товары!$A$2:$A$51,0)),""))</f>
        <v/>
      </c>
      <c r="G471" s="2">
        <f>IF(A471="","",YEAR(A471)&amp;"-"&amp;TEXT(MONTH(A471),"00"))</f>
        <v/>
      </c>
    </row>
    <row r="472">
      <c r="A472" s="2" t="n"/>
      <c r="B472" s="2" t="n"/>
      <c r="C472" s="2" t="n"/>
      <c r="D472" s="8">
        <f>IF(B472="","",IFERROR(INDEX(Товары!$F$2:$F$51,MATCH(B472,Товары!$A$2:$A$51,0)),""))</f>
        <v/>
      </c>
      <c r="E472" s="8">
        <f>IF(OR(B472="",D472=""),"",C472*D472)</f>
        <v/>
      </c>
      <c r="F472" s="8">
        <f>IF(B472="","",IFERROR(C472*INDEX(Товары!$J$2:$J$51,MATCH(B472,Товары!$A$2:$A$51,0)),""))</f>
        <v/>
      </c>
      <c r="G472" s="2">
        <f>IF(A472="","",YEAR(A472)&amp;"-"&amp;TEXT(MONTH(A472),"00"))</f>
        <v/>
      </c>
    </row>
    <row r="473">
      <c r="A473" s="2" t="n"/>
      <c r="B473" s="2" t="n"/>
      <c r="C473" s="2" t="n"/>
      <c r="D473" s="8">
        <f>IF(B473="","",IFERROR(INDEX(Товары!$F$2:$F$51,MATCH(B473,Товары!$A$2:$A$51,0)),""))</f>
        <v/>
      </c>
      <c r="E473" s="8">
        <f>IF(OR(B473="",D473=""),"",C473*D473)</f>
        <v/>
      </c>
      <c r="F473" s="8">
        <f>IF(B473="","",IFERROR(C473*INDEX(Товары!$J$2:$J$51,MATCH(B473,Товары!$A$2:$A$51,0)),""))</f>
        <v/>
      </c>
      <c r="G473" s="2">
        <f>IF(A473="","",YEAR(A473)&amp;"-"&amp;TEXT(MONTH(A473),"00"))</f>
        <v/>
      </c>
    </row>
    <row r="474">
      <c r="A474" s="2" t="n"/>
      <c r="B474" s="2" t="n"/>
      <c r="C474" s="2" t="n"/>
      <c r="D474" s="8">
        <f>IF(B474="","",IFERROR(INDEX(Товары!$F$2:$F$51,MATCH(B474,Товары!$A$2:$A$51,0)),""))</f>
        <v/>
      </c>
      <c r="E474" s="8">
        <f>IF(OR(B474="",D474=""),"",C474*D474)</f>
        <v/>
      </c>
      <c r="F474" s="8">
        <f>IF(B474="","",IFERROR(C474*INDEX(Товары!$J$2:$J$51,MATCH(B474,Товары!$A$2:$A$51,0)),""))</f>
        <v/>
      </c>
      <c r="G474" s="2">
        <f>IF(A474="","",YEAR(A474)&amp;"-"&amp;TEXT(MONTH(A474),"00"))</f>
        <v/>
      </c>
    </row>
    <row r="475">
      <c r="A475" s="2" t="n"/>
      <c r="B475" s="2" t="n"/>
      <c r="C475" s="2" t="n"/>
      <c r="D475" s="8">
        <f>IF(B475="","",IFERROR(INDEX(Товары!$F$2:$F$51,MATCH(B475,Товары!$A$2:$A$51,0)),""))</f>
        <v/>
      </c>
      <c r="E475" s="8">
        <f>IF(OR(B475="",D475=""),"",C475*D475)</f>
        <v/>
      </c>
      <c r="F475" s="8">
        <f>IF(B475="","",IFERROR(C475*INDEX(Товары!$J$2:$J$51,MATCH(B475,Товары!$A$2:$A$51,0)),""))</f>
        <v/>
      </c>
      <c r="G475" s="2">
        <f>IF(A475="","",YEAR(A475)&amp;"-"&amp;TEXT(MONTH(A475),"00"))</f>
        <v/>
      </c>
    </row>
    <row r="476">
      <c r="A476" s="2" t="n"/>
      <c r="B476" s="2" t="n"/>
      <c r="C476" s="2" t="n"/>
      <c r="D476" s="8">
        <f>IF(B476="","",IFERROR(INDEX(Товары!$F$2:$F$51,MATCH(B476,Товары!$A$2:$A$51,0)),""))</f>
        <v/>
      </c>
      <c r="E476" s="8">
        <f>IF(OR(B476="",D476=""),"",C476*D476)</f>
        <v/>
      </c>
      <c r="F476" s="8">
        <f>IF(B476="","",IFERROR(C476*INDEX(Товары!$J$2:$J$51,MATCH(B476,Товары!$A$2:$A$51,0)),""))</f>
        <v/>
      </c>
      <c r="G476" s="2">
        <f>IF(A476="","",YEAR(A476)&amp;"-"&amp;TEXT(MONTH(A476),"00"))</f>
        <v/>
      </c>
    </row>
    <row r="477">
      <c r="A477" s="2" t="n"/>
      <c r="B477" s="2" t="n"/>
      <c r="C477" s="2" t="n"/>
      <c r="D477" s="8">
        <f>IF(B477="","",IFERROR(INDEX(Товары!$F$2:$F$51,MATCH(B477,Товары!$A$2:$A$51,0)),""))</f>
        <v/>
      </c>
      <c r="E477" s="8">
        <f>IF(OR(B477="",D477=""),"",C477*D477)</f>
        <v/>
      </c>
      <c r="F477" s="8">
        <f>IF(B477="","",IFERROR(C477*INDEX(Товары!$J$2:$J$51,MATCH(B477,Товары!$A$2:$A$51,0)),""))</f>
        <v/>
      </c>
      <c r="G477" s="2">
        <f>IF(A477="","",YEAR(A477)&amp;"-"&amp;TEXT(MONTH(A477),"00"))</f>
        <v/>
      </c>
    </row>
    <row r="478">
      <c r="A478" s="2" t="n"/>
      <c r="B478" s="2" t="n"/>
      <c r="C478" s="2" t="n"/>
      <c r="D478" s="8">
        <f>IF(B478="","",IFERROR(INDEX(Товары!$F$2:$F$51,MATCH(B478,Товары!$A$2:$A$51,0)),""))</f>
        <v/>
      </c>
      <c r="E478" s="8">
        <f>IF(OR(B478="",D478=""),"",C478*D478)</f>
        <v/>
      </c>
      <c r="F478" s="8">
        <f>IF(B478="","",IFERROR(C478*INDEX(Товары!$J$2:$J$51,MATCH(B478,Товары!$A$2:$A$51,0)),""))</f>
        <v/>
      </c>
      <c r="G478" s="2">
        <f>IF(A478="","",YEAR(A478)&amp;"-"&amp;TEXT(MONTH(A478),"00"))</f>
        <v/>
      </c>
    </row>
    <row r="479">
      <c r="A479" s="2" t="n"/>
      <c r="B479" s="2" t="n"/>
      <c r="C479" s="2" t="n"/>
      <c r="D479" s="8">
        <f>IF(B479="","",IFERROR(INDEX(Товары!$F$2:$F$51,MATCH(B479,Товары!$A$2:$A$51,0)),""))</f>
        <v/>
      </c>
      <c r="E479" s="8">
        <f>IF(OR(B479="",D479=""),"",C479*D479)</f>
        <v/>
      </c>
      <c r="F479" s="8">
        <f>IF(B479="","",IFERROR(C479*INDEX(Товары!$J$2:$J$51,MATCH(B479,Товары!$A$2:$A$51,0)),""))</f>
        <v/>
      </c>
      <c r="G479" s="2">
        <f>IF(A479="","",YEAR(A479)&amp;"-"&amp;TEXT(MONTH(A479),"00"))</f>
        <v/>
      </c>
    </row>
    <row r="480">
      <c r="A480" s="2" t="n"/>
      <c r="B480" s="2" t="n"/>
      <c r="C480" s="2" t="n"/>
      <c r="D480" s="8">
        <f>IF(B480="","",IFERROR(INDEX(Товары!$F$2:$F$51,MATCH(B480,Товары!$A$2:$A$51,0)),""))</f>
        <v/>
      </c>
      <c r="E480" s="8">
        <f>IF(OR(B480="",D480=""),"",C480*D480)</f>
        <v/>
      </c>
      <c r="F480" s="8">
        <f>IF(B480="","",IFERROR(C480*INDEX(Товары!$J$2:$J$51,MATCH(B480,Товары!$A$2:$A$51,0)),""))</f>
        <v/>
      </c>
      <c r="G480" s="2">
        <f>IF(A480="","",YEAR(A480)&amp;"-"&amp;TEXT(MONTH(A480),"00"))</f>
        <v/>
      </c>
    </row>
    <row r="481">
      <c r="A481" s="2" t="n"/>
      <c r="B481" s="2" t="n"/>
      <c r="C481" s="2" t="n"/>
      <c r="D481" s="8">
        <f>IF(B481="","",IFERROR(INDEX(Товары!$F$2:$F$51,MATCH(B481,Товары!$A$2:$A$51,0)),""))</f>
        <v/>
      </c>
      <c r="E481" s="8">
        <f>IF(OR(B481="",D481=""),"",C481*D481)</f>
        <v/>
      </c>
      <c r="F481" s="8">
        <f>IF(B481="","",IFERROR(C481*INDEX(Товары!$J$2:$J$51,MATCH(B481,Товары!$A$2:$A$51,0)),""))</f>
        <v/>
      </c>
      <c r="G481" s="2">
        <f>IF(A481="","",YEAR(A481)&amp;"-"&amp;TEXT(MONTH(A481),"00"))</f>
        <v/>
      </c>
    </row>
    <row r="482">
      <c r="A482" s="2" t="n"/>
      <c r="B482" s="2" t="n"/>
      <c r="C482" s="2" t="n"/>
      <c r="D482" s="8">
        <f>IF(B482="","",IFERROR(INDEX(Товары!$F$2:$F$51,MATCH(B482,Товары!$A$2:$A$51,0)),""))</f>
        <v/>
      </c>
      <c r="E482" s="8">
        <f>IF(OR(B482="",D482=""),"",C482*D482)</f>
        <v/>
      </c>
      <c r="F482" s="8">
        <f>IF(B482="","",IFERROR(C482*INDEX(Товары!$J$2:$J$51,MATCH(B482,Товары!$A$2:$A$51,0)),""))</f>
        <v/>
      </c>
      <c r="G482" s="2">
        <f>IF(A482="","",YEAR(A482)&amp;"-"&amp;TEXT(MONTH(A482),"00"))</f>
        <v/>
      </c>
    </row>
    <row r="483">
      <c r="A483" s="2" t="n"/>
      <c r="B483" s="2" t="n"/>
      <c r="C483" s="2" t="n"/>
      <c r="D483" s="8">
        <f>IF(B483="","",IFERROR(INDEX(Товары!$F$2:$F$51,MATCH(B483,Товары!$A$2:$A$51,0)),""))</f>
        <v/>
      </c>
      <c r="E483" s="8">
        <f>IF(OR(B483="",D483=""),"",C483*D483)</f>
        <v/>
      </c>
      <c r="F483" s="8">
        <f>IF(B483="","",IFERROR(C483*INDEX(Товары!$J$2:$J$51,MATCH(B483,Товары!$A$2:$A$51,0)),""))</f>
        <v/>
      </c>
      <c r="G483" s="2">
        <f>IF(A483="","",YEAR(A483)&amp;"-"&amp;TEXT(MONTH(A483),"00"))</f>
        <v/>
      </c>
    </row>
    <row r="484">
      <c r="A484" s="2" t="n"/>
      <c r="B484" s="2" t="n"/>
      <c r="C484" s="2" t="n"/>
      <c r="D484" s="8">
        <f>IF(B484="","",IFERROR(INDEX(Товары!$F$2:$F$51,MATCH(B484,Товары!$A$2:$A$51,0)),""))</f>
        <v/>
      </c>
      <c r="E484" s="8">
        <f>IF(OR(B484="",D484=""),"",C484*D484)</f>
        <v/>
      </c>
      <c r="F484" s="8">
        <f>IF(B484="","",IFERROR(C484*INDEX(Товары!$J$2:$J$51,MATCH(B484,Товары!$A$2:$A$51,0)),""))</f>
        <v/>
      </c>
      <c r="G484" s="2">
        <f>IF(A484="","",YEAR(A484)&amp;"-"&amp;TEXT(MONTH(A484),"00"))</f>
        <v/>
      </c>
    </row>
    <row r="485">
      <c r="A485" s="2" t="n"/>
      <c r="B485" s="2" t="n"/>
      <c r="C485" s="2" t="n"/>
      <c r="D485" s="8">
        <f>IF(B485="","",IFERROR(INDEX(Товары!$F$2:$F$51,MATCH(B485,Товары!$A$2:$A$51,0)),""))</f>
        <v/>
      </c>
      <c r="E485" s="8">
        <f>IF(OR(B485="",D485=""),"",C485*D485)</f>
        <v/>
      </c>
      <c r="F485" s="8">
        <f>IF(B485="","",IFERROR(C485*INDEX(Товары!$J$2:$J$51,MATCH(B485,Товары!$A$2:$A$51,0)),""))</f>
        <v/>
      </c>
      <c r="G485" s="2">
        <f>IF(A485="","",YEAR(A485)&amp;"-"&amp;TEXT(MONTH(A485),"00"))</f>
        <v/>
      </c>
    </row>
    <row r="486">
      <c r="A486" s="2" t="n"/>
      <c r="B486" s="2" t="n"/>
      <c r="C486" s="2" t="n"/>
      <c r="D486" s="8">
        <f>IF(B486="","",IFERROR(INDEX(Товары!$F$2:$F$51,MATCH(B486,Товары!$A$2:$A$51,0)),""))</f>
        <v/>
      </c>
      <c r="E486" s="8">
        <f>IF(OR(B486="",D486=""),"",C486*D486)</f>
        <v/>
      </c>
      <c r="F486" s="8">
        <f>IF(B486="","",IFERROR(C486*INDEX(Товары!$J$2:$J$51,MATCH(B486,Товары!$A$2:$A$51,0)),""))</f>
        <v/>
      </c>
      <c r="G486" s="2">
        <f>IF(A486="","",YEAR(A486)&amp;"-"&amp;TEXT(MONTH(A486),"00"))</f>
        <v/>
      </c>
    </row>
    <row r="487">
      <c r="A487" s="2" t="n"/>
      <c r="B487" s="2" t="n"/>
      <c r="C487" s="2" t="n"/>
      <c r="D487" s="8">
        <f>IF(B487="","",IFERROR(INDEX(Товары!$F$2:$F$51,MATCH(B487,Товары!$A$2:$A$51,0)),""))</f>
        <v/>
      </c>
      <c r="E487" s="8">
        <f>IF(OR(B487="",D487=""),"",C487*D487)</f>
        <v/>
      </c>
      <c r="F487" s="8">
        <f>IF(B487="","",IFERROR(C487*INDEX(Товары!$J$2:$J$51,MATCH(B487,Товары!$A$2:$A$51,0)),""))</f>
        <v/>
      </c>
      <c r="G487" s="2">
        <f>IF(A487="","",YEAR(A487)&amp;"-"&amp;TEXT(MONTH(A487),"00"))</f>
        <v/>
      </c>
    </row>
    <row r="488">
      <c r="A488" s="2" t="n"/>
      <c r="B488" s="2" t="n"/>
      <c r="C488" s="2" t="n"/>
      <c r="D488" s="8">
        <f>IF(B488="","",IFERROR(INDEX(Товары!$F$2:$F$51,MATCH(B488,Товары!$A$2:$A$51,0)),""))</f>
        <v/>
      </c>
      <c r="E488" s="8">
        <f>IF(OR(B488="",D488=""),"",C488*D488)</f>
        <v/>
      </c>
      <c r="F488" s="8">
        <f>IF(B488="","",IFERROR(C488*INDEX(Товары!$J$2:$J$51,MATCH(B488,Товары!$A$2:$A$51,0)),""))</f>
        <v/>
      </c>
      <c r="G488" s="2">
        <f>IF(A488="","",YEAR(A488)&amp;"-"&amp;TEXT(MONTH(A488),"00"))</f>
        <v/>
      </c>
    </row>
    <row r="489">
      <c r="A489" s="2" t="n"/>
      <c r="B489" s="2" t="n"/>
      <c r="C489" s="2" t="n"/>
      <c r="D489" s="8">
        <f>IF(B489="","",IFERROR(INDEX(Товары!$F$2:$F$51,MATCH(B489,Товары!$A$2:$A$51,0)),""))</f>
        <v/>
      </c>
      <c r="E489" s="8">
        <f>IF(OR(B489="",D489=""),"",C489*D489)</f>
        <v/>
      </c>
      <c r="F489" s="8">
        <f>IF(B489="","",IFERROR(C489*INDEX(Товары!$J$2:$J$51,MATCH(B489,Товары!$A$2:$A$51,0)),""))</f>
        <v/>
      </c>
      <c r="G489" s="2">
        <f>IF(A489="","",YEAR(A489)&amp;"-"&amp;TEXT(MONTH(A489),"00"))</f>
        <v/>
      </c>
    </row>
    <row r="490">
      <c r="A490" s="2" t="n"/>
      <c r="B490" s="2" t="n"/>
      <c r="C490" s="2" t="n"/>
      <c r="D490" s="8">
        <f>IF(B490="","",IFERROR(INDEX(Товары!$F$2:$F$51,MATCH(B490,Товары!$A$2:$A$51,0)),""))</f>
        <v/>
      </c>
      <c r="E490" s="8">
        <f>IF(OR(B490="",D490=""),"",C490*D490)</f>
        <v/>
      </c>
      <c r="F490" s="8">
        <f>IF(B490="","",IFERROR(C490*INDEX(Товары!$J$2:$J$51,MATCH(B490,Товары!$A$2:$A$51,0)),""))</f>
        <v/>
      </c>
      <c r="G490" s="2">
        <f>IF(A490="","",YEAR(A490)&amp;"-"&amp;TEXT(MONTH(A490),"00"))</f>
        <v/>
      </c>
    </row>
    <row r="491">
      <c r="A491" s="2" t="n"/>
      <c r="B491" s="2" t="n"/>
      <c r="C491" s="2" t="n"/>
      <c r="D491" s="8">
        <f>IF(B491="","",IFERROR(INDEX(Товары!$F$2:$F$51,MATCH(B491,Товары!$A$2:$A$51,0)),""))</f>
        <v/>
      </c>
      <c r="E491" s="8">
        <f>IF(OR(B491="",D491=""),"",C491*D491)</f>
        <v/>
      </c>
      <c r="F491" s="8">
        <f>IF(B491="","",IFERROR(C491*INDEX(Товары!$J$2:$J$51,MATCH(B491,Товары!$A$2:$A$51,0)),""))</f>
        <v/>
      </c>
      <c r="G491" s="2">
        <f>IF(A491="","",YEAR(A491)&amp;"-"&amp;TEXT(MONTH(A491),"00"))</f>
        <v/>
      </c>
    </row>
    <row r="492">
      <c r="A492" s="2" t="n"/>
      <c r="B492" s="2" t="n"/>
      <c r="C492" s="2" t="n"/>
      <c r="D492" s="8">
        <f>IF(B492="","",IFERROR(INDEX(Товары!$F$2:$F$51,MATCH(B492,Товары!$A$2:$A$51,0)),""))</f>
        <v/>
      </c>
      <c r="E492" s="8">
        <f>IF(OR(B492="",D492=""),"",C492*D492)</f>
        <v/>
      </c>
      <c r="F492" s="8">
        <f>IF(B492="","",IFERROR(C492*INDEX(Товары!$J$2:$J$51,MATCH(B492,Товары!$A$2:$A$51,0)),""))</f>
        <v/>
      </c>
      <c r="G492" s="2">
        <f>IF(A492="","",YEAR(A492)&amp;"-"&amp;TEXT(MONTH(A492),"00"))</f>
        <v/>
      </c>
    </row>
    <row r="493">
      <c r="A493" s="2" t="n"/>
      <c r="B493" s="2" t="n"/>
      <c r="C493" s="2" t="n"/>
      <c r="D493" s="8">
        <f>IF(B493="","",IFERROR(INDEX(Товары!$F$2:$F$51,MATCH(B493,Товары!$A$2:$A$51,0)),""))</f>
        <v/>
      </c>
      <c r="E493" s="8">
        <f>IF(OR(B493="",D493=""),"",C493*D493)</f>
        <v/>
      </c>
      <c r="F493" s="8">
        <f>IF(B493="","",IFERROR(C493*INDEX(Товары!$J$2:$J$51,MATCH(B493,Товары!$A$2:$A$51,0)),""))</f>
        <v/>
      </c>
      <c r="G493" s="2">
        <f>IF(A493="","",YEAR(A493)&amp;"-"&amp;TEXT(MONTH(A493),"00"))</f>
        <v/>
      </c>
    </row>
    <row r="494">
      <c r="A494" s="2" t="n"/>
      <c r="B494" s="2" t="n"/>
      <c r="C494" s="2" t="n"/>
      <c r="D494" s="8">
        <f>IF(B494="","",IFERROR(INDEX(Товары!$F$2:$F$51,MATCH(B494,Товары!$A$2:$A$51,0)),""))</f>
        <v/>
      </c>
      <c r="E494" s="8">
        <f>IF(OR(B494="",D494=""),"",C494*D494)</f>
        <v/>
      </c>
      <c r="F494" s="8">
        <f>IF(B494="","",IFERROR(C494*INDEX(Товары!$J$2:$J$51,MATCH(B494,Товары!$A$2:$A$51,0)),""))</f>
        <v/>
      </c>
      <c r="G494" s="2">
        <f>IF(A494="","",YEAR(A494)&amp;"-"&amp;TEXT(MONTH(A494),"00"))</f>
        <v/>
      </c>
    </row>
    <row r="495">
      <c r="A495" s="2" t="n"/>
      <c r="B495" s="2" t="n"/>
      <c r="C495" s="2" t="n"/>
      <c r="D495" s="8">
        <f>IF(B495="","",IFERROR(INDEX(Товары!$F$2:$F$51,MATCH(B495,Товары!$A$2:$A$51,0)),""))</f>
        <v/>
      </c>
      <c r="E495" s="8">
        <f>IF(OR(B495="",D495=""),"",C495*D495)</f>
        <v/>
      </c>
      <c r="F495" s="8">
        <f>IF(B495="","",IFERROR(C495*INDEX(Товары!$J$2:$J$51,MATCH(B495,Товары!$A$2:$A$51,0)),""))</f>
        <v/>
      </c>
      <c r="G495" s="2">
        <f>IF(A495="","",YEAR(A495)&amp;"-"&amp;TEXT(MONTH(A495),"00"))</f>
        <v/>
      </c>
    </row>
    <row r="496">
      <c r="A496" s="2" t="n"/>
      <c r="B496" s="2" t="n"/>
      <c r="C496" s="2" t="n"/>
      <c r="D496" s="8">
        <f>IF(B496="","",IFERROR(INDEX(Товары!$F$2:$F$51,MATCH(B496,Товары!$A$2:$A$51,0)),""))</f>
        <v/>
      </c>
      <c r="E496" s="8">
        <f>IF(OR(B496="",D496=""),"",C496*D496)</f>
        <v/>
      </c>
      <c r="F496" s="8">
        <f>IF(B496="","",IFERROR(C496*INDEX(Товары!$J$2:$J$51,MATCH(B496,Товары!$A$2:$A$51,0)),""))</f>
        <v/>
      </c>
      <c r="G496" s="2">
        <f>IF(A496="","",YEAR(A496)&amp;"-"&amp;TEXT(MONTH(A496),"00"))</f>
        <v/>
      </c>
    </row>
    <row r="497">
      <c r="A497" s="2" t="n"/>
      <c r="B497" s="2" t="n"/>
      <c r="C497" s="2" t="n"/>
      <c r="D497" s="8">
        <f>IF(B497="","",IFERROR(INDEX(Товары!$F$2:$F$51,MATCH(B497,Товары!$A$2:$A$51,0)),""))</f>
        <v/>
      </c>
      <c r="E497" s="8">
        <f>IF(OR(B497="",D497=""),"",C497*D497)</f>
        <v/>
      </c>
      <c r="F497" s="8">
        <f>IF(B497="","",IFERROR(C497*INDEX(Товары!$J$2:$J$51,MATCH(B497,Товары!$A$2:$A$51,0)),""))</f>
        <v/>
      </c>
      <c r="G497" s="2">
        <f>IF(A497="","",YEAR(A497)&amp;"-"&amp;TEXT(MONTH(A497),"00"))</f>
        <v/>
      </c>
    </row>
    <row r="498">
      <c r="A498" s="2" t="n"/>
      <c r="B498" s="2" t="n"/>
      <c r="C498" s="2" t="n"/>
      <c r="D498" s="8">
        <f>IF(B498="","",IFERROR(INDEX(Товары!$F$2:$F$51,MATCH(B498,Товары!$A$2:$A$51,0)),""))</f>
        <v/>
      </c>
      <c r="E498" s="8">
        <f>IF(OR(B498="",D498=""),"",C498*D498)</f>
        <v/>
      </c>
      <c r="F498" s="8">
        <f>IF(B498="","",IFERROR(C498*INDEX(Товары!$J$2:$J$51,MATCH(B498,Товары!$A$2:$A$51,0)),""))</f>
        <v/>
      </c>
      <c r="G498" s="2">
        <f>IF(A498="","",YEAR(A498)&amp;"-"&amp;TEXT(MONTH(A498),"00"))</f>
        <v/>
      </c>
    </row>
    <row r="499">
      <c r="A499" s="2" t="n"/>
      <c r="B499" s="2" t="n"/>
      <c r="C499" s="2" t="n"/>
      <c r="D499" s="8">
        <f>IF(B499="","",IFERROR(INDEX(Товары!$F$2:$F$51,MATCH(B499,Товары!$A$2:$A$51,0)),""))</f>
        <v/>
      </c>
      <c r="E499" s="8">
        <f>IF(OR(B499="",D499=""),"",C499*D499)</f>
        <v/>
      </c>
      <c r="F499" s="8">
        <f>IF(B499="","",IFERROR(C499*INDEX(Товары!$J$2:$J$51,MATCH(B499,Товары!$A$2:$A$51,0)),""))</f>
        <v/>
      </c>
      <c r="G499" s="2">
        <f>IF(A499="","",YEAR(A499)&amp;"-"&amp;TEXT(MONTH(A499),"00"))</f>
        <v/>
      </c>
    </row>
    <row r="500">
      <c r="A500" s="2" t="n"/>
      <c r="B500" s="2" t="n"/>
      <c r="C500" s="2" t="n"/>
      <c r="D500" s="8">
        <f>IF(B500="","",IFERROR(INDEX(Товары!$F$2:$F$51,MATCH(B500,Товары!$A$2:$A$51,0)),""))</f>
        <v/>
      </c>
      <c r="E500" s="8">
        <f>IF(OR(B500="",D500=""),"",C500*D500)</f>
        <v/>
      </c>
      <c r="F500" s="8">
        <f>IF(B500="","",IFERROR(C500*INDEX(Товары!$J$2:$J$51,MATCH(B500,Товары!$A$2:$A$51,0)),""))</f>
        <v/>
      </c>
      <c r="G500" s="2">
        <f>IF(A500="","",YEAR(A500)&amp;"-"&amp;TEXT(MONTH(A500),"00"))</f>
        <v/>
      </c>
    </row>
    <row r="501">
      <c r="A501" s="2" t="n"/>
      <c r="B501" s="2" t="n"/>
      <c r="C501" s="2" t="n"/>
      <c r="D501" s="8">
        <f>IF(B501="","",IFERROR(INDEX(Товары!$F$2:$F$51,MATCH(B501,Товары!$A$2:$A$51,0)),""))</f>
        <v/>
      </c>
      <c r="E501" s="8">
        <f>IF(OR(B501="",D501=""),"",C501*D501)</f>
        <v/>
      </c>
      <c r="F501" s="8">
        <f>IF(B501="","",IFERROR(C501*INDEX(Товары!$J$2:$J$51,MATCH(B501,Товары!$A$2:$A$51,0)),""))</f>
        <v/>
      </c>
      <c r="G501" s="2">
        <f>IF(A501="","",YEAR(A501)&amp;"-"&amp;TEXT(MONTH(A501),"00"))</f>
        <v/>
      </c>
    </row>
    <row r="502">
      <c r="A502" s="2" t="n"/>
      <c r="B502" s="2" t="n"/>
      <c r="C502" s="2" t="n"/>
      <c r="D502" s="8">
        <f>IF(B502="","",IFERROR(INDEX(Товары!$F$2:$F$51,MATCH(B502,Товары!$A$2:$A$51,0)),""))</f>
        <v/>
      </c>
      <c r="E502" s="8">
        <f>IF(OR(B502="",D502=""),"",C502*D502)</f>
        <v/>
      </c>
      <c r="F502" s="8">
        <f>IF(B502="","",IFERROR(C502*INDEX(Товары!$J$2:$J$51,MATCH(B502,Товары!$A$2:$A$51,0)),""))</f>
        <v/>
      </c>
      <c r="G502" s="2">
        <f>IF(A502="","",YEAR(A502)&amp;"-"&amp;TEXT(MONTH(A502),"00"))</f>
        <v/>
      </c>
    </row>
    <row r="503">
      <c r="A503" s="2" t="n"/>
      <c r="B503" s="2" t="n"/>
      <c r="C503" s="2" t="n"/>
      <c r="D503" s="8">
        <f>IF(B503="","",IFERROR(INDEX(Товары!$F$2:$F$51,MATCH(B503,Товары!$A$2:$A$51,0)),""))</f>
        <v/>
      </c>
      <c r="E503" s="8">
        <f>IF(OR(B503="",D503=""),"",C503*D503)</f>
        <v/>
      </c>
      <c r="F503" s="8">
        <f>IF(B503="","",IFERROR(C503*INDEX(Товары!$J$2:$J$51,MATCH(B503,Товары!$A$2:$A$51,0)),""))</f>
        <v/>
      </c>
      <c r="G503" s="2">
        <f>IF(A503="","",YEAR(A503)&amp;"-"&amp;TEXT(MONTH(A503),"00"))</f>
        <v/>
      </c>
    </row>
    <row r="504">
      <c r="A504" s="2" t="n"/>
      <c r="B504" s="2" t="n"/>
      <c r="C504" s="2" t="n"/>
      <c r="D504" s="8">
        <f>IF(B504="","",IFERROR(INDEX(Товары!$F$2:$F$51,MATCH(B504,Товары!$A$2:$A$51,0)),""))</f>
        <v/>
      </c>
      <c r="E504" s="8">
        <f>IF(OR(B504="",D504=""),"",C504*D504)</f>
        <v/>
      </c>
      <c r="F504" s="8">
        <f>IF(B504="","",IFERROR(C504*INDEX(Товары!$J$2:$J$51,MATCH(B504,Товары!$A$2:$A$51,0)),""))</f>
        <v/>
      </c>
      <c r="G504" s="2">
        <f>IF(A504="","",YEAR(A504)&amp;"-"&amp;TEXT(MONTH(A504),"00"))</f>
        <v/>
      </c>
    </row>
    <row r="505">
      <c r="A505" s="2" t="n"/>
      <c r="B505" s="2" t="n"/>
      <c r="C505" s="2" t="n"/>
      <c r="D505" s="8">
        <f>IF(B505="","",IFERROR(INDEX(Товары!$F$2:$F$51,MATCH(B505,Товары!$A$2:$A$51,0)),""))</f>
        <v/>
      </c>
      <c r="E505" s="8">
        <f>IF(OR(B505="",D505=""),"",C505*D505)</f>
        <v/>
      </c>
      <c r="F505" s="8">
        <f>IF(B505="","",IFERROR(C505*INDEX(Товары!$J$2:$J$51,MATCH(B505,Товары!$A$2:$A$51,0)),""))</f>
        <v/>
      </c>
      <c r="G505" s="2">
        <f>IF(A505="","",YEAR(A505)&amp;"-"&amp;TEXT(MONTH(A505),"00"))</f>
        <v/>
      </c>
    </row>
    <row r="506">
      <c r="A506" s="2" t="n"/>
      <c r="B506" s="2" t="n"/>
      <c r="C506" s="2" t="n"/>
      <c r="D506" s="8">
        <f>IF(B506="","",IFERROR(INDEX(Товары!$F$2:$F$51,MATCH(B506,Товары!$A$2:$A$51,0)),""))</f>
        <v/>
      </c>
      <c r="E506" s="8">
        <f>IF(OR(B506="",D506=""),"",C506*D506)</f>
        <v/>
      </c>
      <c r="F506" s="8">
        <f>IF(B506="","",IFERROR(C506*INDEX(Товары!$J$2:$J$51,MATCH(B506,Товары!$A$2:$A$51,0)),""))</f>
        <v/>
      </c>
      <c r="G506" s="2">
        <f>IF(A506="","",YEAR(A506)&amp;"-"&amp;TEXT(MONTH(A506),"00"))</f>
        <v/>
      </c>
    </row>
    <row r="507">
      <c r="A507" s="2" t="n"/>
      <c r="B507" s="2" t="n"/>
      <c r="C507" s="2" t="n"/>
      <c r="D507" s="8">
        <f>IF(B507="","",IFERROR(INDEX(Товары!$F$2:$F$51,MATCH(B507,Товары!$A$2:$A$51,0)),""))</f>
        <v/>
      </c>
      <c r="E507" s="8">
        <f>IF(OR(B507="",D507=""),"",C507*D507)</f>
        <v/>
      </c>
      <c r="F507" s="8">
        <f>IF(B507="","",IFERROR(C507*INDEX(Товары!$J$2:$J$51,MATCH(B507,Товары!$A$2:$A$51,0)),""))</f>
        <v/>
      </c>
      <c r="G507" s="2">
        <f>IF(A507="","",YEAR(A507)&amp;"-"&amp;TEXT(MONTH(A507),"00"))</f>
        <v/>
      </c>
    </row>
    <row r="508">
      <c r="A508" s="2" t="n"/>
      <c r="B508" s="2" t="n"/>
      <c r="C508" s="2" t="n"/>
      <c r="D508" s="8">
        <f>IF(B508="","",IFERROR(INDEX(Товары!$F$2:$F$51,MATCH(B508,Товары!$A$2:$A$51,0)),""))</f>
        <v/>
      </c>
      <c r="E508" s="8">
        <f>IF(OR(B508="",D508=""),"",C508*D508)</f>
        <v/>
      </c>
      <c r="F508" s="8">
        <f>IF(B508="","",IFERROR(C508*INDEX(Товары!$J$2:$J$51,MATCH(B508,Товары!$A$2:$A$51,0)),""))</f>
        <v/>
      </c>
      <c r="G508" s="2">
        <f>IF(A508="","",YEAR(A508)&amp;"-"&amp;TEXT(MONTH(A508),"00"))</f>
        <v/>
      </c>
    </row>
    <row r="509">
      <c r="A509" s="2" t="n"/>
      <c r="B509" s="2" t="n"/>
      <c r="C509" s="2" t="n"/>
      <c r="D509" s="8">
        <f>IF(B509="","",IFERROR(INDEX(Товары!$F$2:$F$51,MATCH(B509,Товары!$A$2:$A$51,0)),""))</f>
        <v/>
      </c>
      <c r="E509" s="8">
        <f>IF(OR(B509="",D509=""),"",C509*D509)</f>
        <v/>
      </c>
      <c r="F509" s="8">
        <f>IF(B509="","",IFERROR(C509*INDEX(Товары!$J$2:$J$51,MATCH(B509,Товары!$A$2:$A$51,0)),""))</f>
        <v/>
      </c>
      <c r="G509" s="2">
        <f>IF(A509="","",YEAR(A509)&amp;"-"&amp;TEXT(MONTH(A509),"00"))</f>
        <v/>
      </c>
    </row>
    <row r="510">
      <c r="A510" s="2" t="n"/>
      <c r="B510" s="2" t="n"/>
      <c r="C510" s="2" t="n"/>
      <c r="D510" s="8">
        <f>IF(B510="","",IFERROR(INDEX(Товары!$F$2:$F$51,MATCH(B510,Товары!$A$2:$A$51,0)),""))</f>
        <v/>
      </c>
      <c r="E510" s="8">
        <f>IF(OR(B510="",D510=""),"",C510*D510)</f>
        <v/>
      </c>
      <c r="F510" s="8">
        <f>IF(B510="","",IFERROR(C510*INDEX(Товары!$J$2:$J$51,MATCH(B510,Товары!$A$2:$A$51,0)),""))</f>
        <v/>
      </c>
      <c r="G510" s="2">
        <f>IF(A510="","",YEAR(A510)&amp;"-"&amp;TEXT(MONTH(A510),"00"))</f>
        <v/>
      </c>
    </row>
    <row r="511">
      <c r="A511" s="2" t="n"/>
      <c r="B511" s="2" t="n"/>
      <c r="C511" s="2" t="n"/>
      <c r="D511" s="8">
        <f>IF(B511="","",IFERROR(INDEX(Товары!$F$2:$F$51,MATCH(B511,Товары!$A$2:$A$51,0)),""))</f>
        <v/>
      </c>
      <c r="E511" s="8">
        <f>IF(OR(B511="",D511=""),"",C511*D511)</f>
        <v/>
      </c>
      <c r="F511" s="8">
        <f>IF(B511="","",IFERROR(C511*INDEX(Товары!$J$2:$J$51,MATCH(B511,Товары!$A$2:$A$51,0)),""))</f>
        <v/>
      </c>
      <c r="G511" s="2">
        <f>IF(A511="","",YEAR(A511)&amp;"-"&amp;TEXT(MONTH(A511),"00"))</f>
        <v/>
      </c>
    </row>
    <row r="512">
      <c r="A512" s="2" t="n"/>
      <c r="B512" s="2" t="n"/>
      <c r="C512" s="2" t="n"/>
      <c r="D512" s="8">
        <f>IF(B512="","",IFERROR(INDEX(Товары!$F$2:$F$51,MATCH(B512,Товары!$A$2:$A$51,0)),""))</f>
        <v/>
      </c>
      <c r="E512" s="8">
        <f>IF(OR(B512="",D512=""),"",C512*D512)</f>
        <v/>
      </c>
      <c r="F512" s="8">
        <f>IF(B512="","",IFERROR(C512*INDEX(Товары!$J$2:$J$51,MATCH(B512,Товары!$A$2:$A$51,0)),""))</f>
        <v/>
      </c>
      <c r="G512" s="2">
        <f>IF(A512="","",YEAR(A512)&amp;"-"&amp;TEXT(MONTH(A512),"00"))</f>
        <v/>
      </c>
    </row>
    <row r="513">
      <c r="A513" s="2" t="n"/>
      <c r="B513" s="2" t="n"/>
      <c r="C513" s="2" t="n"/>
      <c r="D513" s="8">
        <f>IF(B513="","",IFERROR(INDEX(Товары!$F$2:$F$51,MATCH(B513,Товары!$A$2:$A$51,0)),""))</f>
        <v/>
      </c>
      <c r="E513" s="8">
        <f>IF(OR(B513="",D513=""),"",C513*D513)</f>
        <v/>
      </c>
      <c r="F513" s="8">
        <f>IF(B513="","",IFERROR(C513*INDEX(Товары!$J$2:$J$51,MATCH(B513,Товары!$A$2:$A$51,0)),""))</f>
        <v/>
      </c>
      <c r="G513" s="2">
        <f>IF(A513="","",YEAR(A513)&amp;"-"&amp;TEXT(MONTH(A513),"00"))</f>
        <v/>
      </c>
    </row>
    <row r="514">
      <c r="A514" s="2" t="n"/>
      <c r="B514" s="2" t="n"/>
      <c r="C514" s="2" t="n"/>
      <c r="D514" s="8">
        <f>IF(B514="","",IFERROR(INDEX(Товары!$F$2:$F$51,MATCH(B514,Товары!$A$2:$A$51,0)),""))</f>
        <v/>
      </c>
      <c r="E514" s="8">
        <f>IF(OR(B514="",D514=""),"",C514*D514)</f>
        <v/>
      </c>
      <c r="F514" s="8">
        <f>IF(B514="","",IFERROR(C514*INDEX(Товары!$J$2:$J$51,MATCH(B514,Товары!$A$2:$A$51,0)),""))</f>
        <v/>
      </c>
      <c r="G514" s="2">
        <f>IF(A514="","",YEAR(A514)&amp;"-"&amp;TEXT(MONTH(A514),"00"))</f>
        <v/>
      </c>
    </row>
    <row r="515">
      <c r="A515" s="2" t="n"/>
      <c r="B515" s="2" t="n"/>
      <c r="C515" s="2" t="n"/>
      <c r="D515" s="8">
        <f>IF(B515="","",IFERROR(INDEX(Товары!$F$2:$F$51,MATCH(B515,Товары!$A$2:$A$51,0)),""))</f>
        <v/>
      </c>
      <c r="E515" s="8">
        <f>IF(OR(B515="",D515=""),"",C515*D515)</f>
        <v/>
      </c>
      <c r="F515" s="8">
        <f>IF(B515="","",IFERROR(C515*INDEX(Товары!$J$2:$J$51,MATCH(B515,Товары!$A$2:$A$51,0)),""))</f>
        <v/>
      </c>
      <c r="G515" s="2">
        <f>IF(A515="","",YEAR(A515)&amp;"-"&amp;TEXT(MONTH(A515),"00"))</f>
        <v/>
      </c>
    </row>
    <row r="516">
      <c r="A516" s="2" t="n"/>
      <c r="B516" s="2" t="n"/>
      <c r="C516" s="2" t="n"/>
      <c r="D516" s="8">
        <f>IF(B516="","",IFERROR(INDEX(Товары!$F$2:$F$51,MATCH(B516,Товары!$A$2:$A$51,0)),""))</f>
        <v/>
      </c>
      <c r="E516" s="8">
        <f>IF(OR(B516="",D516=""),"",C516*D516)</f>
        <v/>
      </c>
      <c r="F516" s="8">
        <f>IF(B516="","",IFERROR(C516*INDEX(Товары!$J$2:$J$51,MATCH(B516,Товары!$A$2:$A$51,0)),""))</f>
        <v/>
      </c>
      <c r="G516" s="2">
        <f>IF(A516="","",YEAR(A516)&amp;"-"&amp;TEXT(MONTH(A516),"00"))</f>
        <v/>
      </c>
    </row>
    <row r="517">
      <c r="A517" s="2" t="n"/>
      <c r="B517" s="2" t="n"/>
      <c r="C517" s="2" t="n"/>
      <c r="D517" s="8">
        <f>IF(B517="","",IFERROR(INDEX(Товары!$F$2:$F$51,MATCH(B517,Товары!$A$2:$A$51,0)),""))</f>
        <v/>
      </c>
      <c r="E517" s="8">
        <f>IF(OR(B517="",D517=""),"",C517*D517)</f>
        <v/>
      </c>
      <c r="F517" s="8">
        <f>IF(B517="","",IFERROR(C517*INDEX(Товары!$J$2:$J$51,MATCH(B517,Товары!$A$2:$A$51,0)),""))</f>
        <v/>
      </c>
      <c r="G517" s="2">
        <f>IF(A517="","",YEAR(A517)&amp;"-"&amp;TEXT(MONTH(A517),"00"))</f>
        <v/>
      </c>
    </row>
    <row r="518">
      <c r="A518" s="2" t="n"/>
      <c r="B518" s="2" t="n"/>
      <c r="C518" s="2" t="n"/>
      <c r="D518" s="8">
        <f>IF(B518="","",IFERROR(INDEX(Товары!$F$2:$F$51,MATCH(B518,Товары!$A$2:$A$51,0)),""))</f>
        <v/>
      </c>
      <c r="E518" s="8">
        <f>IF(OR(B518="",D518=""),"",C518*D518)</f>
        <v/>
      </c>
      <c r="F518" s="8">
        <f>IF(B518="","",IFERROR(C518*INDEX(Товары!$J$2:$J$51,MATCH(B518,Товары!$A$2:$A$51,0)),""))</f>
        <v/>
      </c>
      <c r="G518" s="2">
        <f>IF(A518="","",YEAR(A518)&amp;"-"&amp;TEXT(MONTH(A518),"00"))</f>
        <v/>
      </c>
    </row>
    <row r="519">
      <c r="A519" s="2" t="n"/>
      <c r="B519" s="2" t="n"/>
      <c r="C519" s="2" t="n"/>
      <c r="D519" s="8">
        <f>IF(B519="","",IFERROR(INDEX(Товары!$F$2:$F$51,MATCH(B519,Товары!$A$2:$A$51,0)),""))</f>
        <v/>
      </c>
      <c r="E519" s="8">
        <f>IF(OR(B519="",D519=""),"",C519*D519)</f>
        <v/>
      </c>
      <c r="F519" s="8">
        <f>IF(B519="","",IFERROR(C519*INDEX(Товары!$J$2:$J$51,MATCH(B519,Товары!$A$2:$A$51,0)),""))</f>
        <v/>
      </c>
      <c r="G519" s="2">
        <f>IF(A519="","",YEAR(A519)&amp;"-"&amp;TEXT(MONTH(A519),"00"))</f>
        <v/>
      </c>
    </row>
    <row r="520">
      <c r="A520" s="2" t="n"/>
      <c r="B520" s="2" t="n"/>
      <c r="C520" s="2" t="n"/>
      <c r="D520" s="8">
        <f>IF(B520="","",IFERROR(INDEX(Товары!$F$2:$F$51,MATCH(B520,Товары!$A$2:$A$51,0)),""))</f>
        <v/>
      </c>
      <c r="E520" s="8">
        <f>IF(OR(B520="",D520=""),"",C520*D520)</f>
        <v/>
      </c>
      <c r="F520" s="8">
        <f>IF(B520="","",IFERROR(C520*INDEX(Товары!$J$2:$J$51,MATCH(B520,Товары!$A$2:$A$51,0)),""))</f>
        <v/>
      </c>
      <c r="G520" s="2">
        <f>IF(A520="","",YEAR(A520)&amp;"-"&amp;TEXT(MONTH(A520),"00"))</f>
        <v/>
      </c>
    </row>
    <row r="521">
      <c r="A521" s="2" t="n"/>
      <c r="B521" s="2" t="n"/>
      <c r="C521" s="2" t="n"/>
      <c r="D521" s="8">
        <f>IF(B521="","",IFERROR(INDEX(Товары!$F$2:$F$51,MATCH(B521,Товары!$A$2:$A$51,0)),""))</f>
        <v/>
      </c>
      <c r="E521" s="8">
        <f>IF(OR(B521="",D521=""),"",C521*D521)</f>
        <v/>
      </c>
      <c r="F521" s="8">
        <f>IF(B521="","",IFERROR(C521*INDEX(Товары!$J$2:$J$51,MATCH(B521,Товары!$A$2:$A$51,0)),""))</f>
        <v/>
      </c>
      <c r="G521" s="2">
        <f>IF(A521="","",YEAR(A521)&amp;"-"&amp;TEXT(MONTH(A521),"00"))</f>
        <v/>
      </c>
    </row>
    <row r="522">
      <c r="A522" s="2" t="n"/>
      <c r="B522" s="2" t="n"/>
      <c r="C522" s="2" t="n"/>
      <c r="D522" s="8">
        <f>IF(B522="","",IFERROR(INDEX(Товары!$F$2:$F$51,MATCH(B522,Товары!$A$2:$A$51,0)),""))</f>
        <v/>
      </c>
      <c r="E522" s="8">
        <f>IF(OR(B522="",D522=""),"",C522*D522)</f>
        <v/>
      </c>
      <c r="F522" s="8">
        <f>IF(B522="","",IFERROR(C522*INDEX(Товары!$J$2:$J$51,MATCH(B522,Товары!$A$2:$A$51,0)),""))</f>
        <v/>
      </c>
      <c r="G522" s="2">
        <f>IF(A522="","",YEAR(A522)&amp;"-"&amp;TEXT(MONTH(A522),"00"))</f>
        <v/>
      </c>
    </row>
    <row r="523">
      <c r="A523" s="2" t="n"/>
      <c r="B523" s="2" t="n"/>
      <c r="C523" s="2" t="n"/>
      <c r="D523" s="8">
        <f>IF(B523="","",IFERROR(INDEX(Товары!$F$2:$F$51,MATCH(B523,Товары!$A$2:$A$51,0)),""))</f>
        <v/>
      </c>
      <c r="E523" s="8">
        <f>IF(OR(B523="",D523=""),"",C523*D523)</f>
        <v/>
      </c>
      <c r="F523" s="8">
        <f>IF(B523="","",IFERROR(C523*INDEX(Товары!$J$2:$J$51,MATCH(B523,Товары!$A$2:$A$51,0)),""))</f>
        <v/>
      </c>
      <c r="G523" s="2">
        <f>IF(A523="","",YEAR(A523)&amp;"-"&amp;TEXT(MONTH(A523),"00"))</f>
        <v/>
      </c>
    </row>
    <row r="524">
      <c r="A524" s="2" t="n"/>
      <c r="B524" s="2" t="n"/>
      <c r="C524" s="2" t="n"/>
      <c r="D524" s="8">
        <f>IF(B524="","",IFERROR(INDEX(Товары!$F$2:$F$51,MATCH(B524,Товары!$A$2:$A$51,0)),""))</f>
        <v/>
      </c>
      <c r="E524" s="8">
        <f>IF(OR(B524="",D524=""),"",C524*D524)</f>
        <v/>
      </c>
      <c r="F524" s="8">
        <f>IF(B524="","",IFERROR(C524*INDEX(Товары!$J$2:$J$51,MATCH(B524,Товары!$A$2:$A$51,0)),""))</f>
        <v/>
      </c>
      <c r="G524" s="2">
        <f>IF(A524="","",YEAR(A524)&amp;"-"&amp;TEXT(MONTH(A524),"00"))</f>
        <v/>
      </c>
    </row>
    <row r="525">
      <c r="A525" s="2" t="n"/>
      <c r="B525" s="2" t="n"/>
      <c r="C525" s="2" t="n"/>
      <c r="D525" s="8">
        <f>IF(B525="","",IFERROR(INDEX(Товары!$F$2:$F$51,MATCH(B525,Товары!$A$2:$A$51,0)),""))</f>
        <v/>
      </c>
      <c r="E525" s="8">
        <f>IF(OR(B525="",D525=""),"",C525*D525)</f>
        <v/>
      </c>
      <c r="F525" s="8">
        <f>IF(B525="","",IFERROR(C525*INDEX(Товары!$J$2:$J$51,MATCH(B525,Товары!$A$2:$A$51,0)),""))</f>
        <v/>
      </c>
      <c r="G525" s="2">
        <f>IF(A525="","",YEAR(A525)&amp;"-"&amp;TEXT(MONTH(A525),"00"))</f>
        <v/>
      </c>
    </row>
    <row r="526">
      <c r="A526" s="2" t="n"/>
      <c r="B526" s="2" t="n"/>
      <c r="C526" s="2" t="n"/>
      <c r="D526" s="8">
        <f>IF(B526="","",IFERROR(INDEX(Товары!$F$2:$F$51,MATCH(B526,Товары!$A$2:$A$51,0)),""))</f>
        <v/>
      </c>
      <c r="E526" s="8">
        <f>IF(OR(B526="",D526=""),"",C526*D526)</f>
        <v/>
      </c>
      <c r="F526" s="8">
        <f>IF(B526="","",IFERROR(C526*INDEX(Товары!$J$2:$J$51,MATCH(B526,Товары!$A$2:$A$51,0)),""))</f>
        <v/>
      </c>
      <c r="G526" s="2">
        <f>IF(A526="","",YEAR(A526)&amp;"-"&amp;TEXT(MONTH(A526),"00"))</f>
        <v/>
      </c>
    </row>
    <row r="527">
      <c r="A527" s="2" t="n"/>
      <c r="B527" s="2" t="n"/>
      <c r="C527" s="2" t="n"/>
      <c r="D527" s="8">
        <f>IF(B527="","",IFERROR(INDEX(Товары!$F$2:$F$51,MATCH(B527,Товары!$A$2:$A$51,0)),""))</f>
        <v/>
      </c>
      <c r="E527" s="8">
        <f>IF(OR(B527="",D527=""),"",C527*D527)</f>
        <v/>
      </c>
      <c r="F527" s="8">
        <f>IF(B527="","",IFERROR(C527*INDEX(Товары!$J$2:$J$51,MATCH(B527,Товары!$A$2:$A$51,0)),""))</f>
        <v/>
      </c>
      <c r="G527" s="2">
        <f>IF(A527="","",YEAR(A527)&amp;"-"&amp;TEXT(MONTH(A527),"00"))</f>
        <v/>
      </c>
    </row>
    <row r="528">
      <c r="A528" s="2" t="n"/>
      <c r="B528" s="2" t="n"/>
      <c r="C528" s="2" t="n"/>
      <c r="D528" s="8">
        <f>IF(B528="","",IFERROR(INDEX(Товары!$F$2:$F$51,MATCH(B528,Товары!$A$2:$A$51,0)),""))</f>
        <v/>
      </c>
      <c r="E528" s="8">
        <f>IF(OR(B528="",D528=""),"",C528*D528)</f>
        <v/>
      </c>
      <c r="F528" s="8">
        <f>IF(B528="","",IFERROR(C528*INDEX(Товары!$J$2:$J$51,MATCH(B528,Товары!$A$2:$A$51,0)),""))</f>
        <v/>
      </c>
      <c r="G528" s="2">
        <f>IF(A528="","",YEAR(A528)&amp;"-"&amp;TEXT(MONTH(A528),"00"))</f>
        <v/>
      </c>
    </row>
    <row r="529">
      <c r="A529" s="2" t="n"/>
      <c r="B529" s="2" t="n"/>
      <c r="C529" s="2" t="n"/>
      <c r="D529" s="8">
        <f>IF(B529="","",IFERROR(INDEX(Товары!$F$2:$F$51,MATCH(B529,Товары!$A$2:$A$51,0)),""))</f>
        <v/>
      </c>
      <c r="E529" s="8">
        <f>IF(OR(B529="",D529=""),"",C529*D529)</f>
        <v/>
      </c>
      <c r="F529" s="8">
        <f>IF(B529="","",IFERROR(C529*INDEX(Товары!$J$2:$J$51,MATCH(B529,Товары!$A$2:$A$51,0)),""))</f>
        <v/>
      </c>
      <c r="G529" s="2">
        <f>IF(A529="","",YEAR(A529)&amp;"-"&amp;TEXT(MONTH(A529),"00"))</f>
        <v/>
      </c>
    </row>
    <row r="530">
      <c r="A530" s="2" t="n"/>
      <c r="B530" s="2" t="n"/>
      <c r="C530" s="2" t="n"/>
      <c r="D530" s="8">
        <f>IF(B530="","",IFERROR(INDEX(Товары!$F$2:$F$51,MATCH(B530,Товары!$A$2:$A$51,0)),""))</f>
        <v/>
      </c>
      <c r="E530" s="8">
        <f>IF(OR(B530="",D530=""),"",C530*D530)</f>
        <v/>
      </c>
      <c r="F530" s="8">
        <f>IF(B530="","",IFERROR(C530*INDEX(Товары!$J$2:$J$51,MATCH(B530,Товары!$A$2:$A$51,0)),""))</f>
        <v/>
      </c>
      <c r="G530" s="2">
        <f>IF(A530="","",YEAR(A530)&amp;"-"&amp;TEXT(MONTH(A530),"00"))</f>
        <v/>
      </c>
    </row>
    <row r="531">
      <c r="A531" s="2" t="n"/>
      <c r="B531" s="2" t="n"/>
      <c r="C531" s="2" t="n"/>
      <c r="D531" s="8">
        <f>IF(B531="","",IFERROR(INDEX(Товары!$F$2:$F$51,MATCH(B531,Товары!$A$2:$A$51,0)),""))</f>
        <v/>
      </c>
      <c r="E531" s="8">
        <f>IF(OR(B531="",D531=""),"",C531*D531)</f>
        <v/>
      </c>
      <c r="F531" s="8">
        <f>IF(B531="","",IFERROR(C531*INDEX(Товары!$J$2:$J$51,MATCH(B531,Товары!$A$2:$A$51,0)),""))</f>
        <v/>
      </c>
      <c r="G531" s="2">
        <f>IF(A531="","",YEAR(A531)&amp;"-"&amp;TEXT(MONTH(A531),"00"))</f>
        <v/>
      </c>
    </row>
    <row r="532">
      <c r="A532" s="2" t="n"/>
      <c r="B532" s="2" t="n"/>
      <c r="C532" s="2" t="n"/>
      <c r="D532" s="8">
        <f>IF(B532="","",IFERROR(INDEX(Товары!$F$2:$F$51,MATCH(B532,Товары!$A$2:$A$51,0)),""))</f>
        <v/>
      </c>
      <c r="E532" s="8">
        <f>IF(OR(B532="",D532=""),"",C532*D532)</f>
        <v/>
      </c>
      <c r="F532" s="8">
        <f>IF(B532="","",IFERROR(C532*INDEX(Товары!$J$2:$J$51,MATCH(B532,Товары!$A$2:$A$51,0)),""))</f>
        <v/>
      </c>
      <c r="G532" s="2">
        <f>IF(A532="","",YEAR(A532)&amp;"-"&amp;TEXT(MONTH(A532),"00"))</f>
        <v/>
      </c>
    </row>
    <row r="533">
      <c r="A533" s="2" t="n"/>
      <c r="B533" s="2" t="n"/>
      <c r="C533" s="2" t="n"/>
      <c r="D533" s="8">
        <f>IF(B533="","",IFERROR(INDEX(Товары!$F$2:$F$51,MATCH(B533,Товары!$A$2:$A$51,0)),""))</f>
        <v/>
      </c>
      <c r="E533" s="8">
        <f>IF(OR(B533="",D533=""),"",C533*D533)</f>
        <v/>
      </c>
      <c r="F533" s="8">
        <f>IF(B533="","",IFERROR(C533*INDEX(Товары!$J$2:$J$51,MATCH(B533,Товары!$A$2:$A$51,0)),""))</f>
        <v/>
      </c>
      <c r="G533" s="2">
        <f>IF(A533="","",YEAR(A533)&amp;"-"&amp;TEXT(MONTH(A533),"00"))</f>
        <v/>
      </c>
    </row>
    <row r="534">
      <c r="A534" s="2" t="n"/>
      <c r="B534" s="2" t="n"/>
      <c r="C534" s="2" t="n"/>
      <c r="D534" s="8">
        <f>IF(B534="","",IFERROR(INDEX(Товары!$F$2:$F$51,MATCH(B534,Товары!$A$2:$A$51,0)),""))</f>
        <v/>
      </c>
      <c r="E534" s="8">
        <f>IF(OR(B534="",D534=""),"",C534*D534)</f>
        <v/>
      </c>
      <c r="F534" s="8">
        <f>IF(B534="","",IFERROR(C534*INDEX(Товары!$J$2:$J$51,MATCH(B534,Товары!$A$2:$A$51,0)),""))</f>
        <v/>
      </c>
      <c r="G534" s="2">
        <f>IF(A534="","",YEAR(A534)&amp;"-"&amp;TEXT(MONTH(A534),"00"))</f>
        <v/>
      </c>
    </row>
    <row r="535">
      <c r="A535" s="2" t="n"/>
      <c r="B535" s="2" t="n"/>
      <c r="C535" s="2" t="n"/>
      <c r="D535" s="8">
        <f>IF(B535="","",IFERROR(INDEX(Товары!$F$2:$F$51,MATCH(B535,Товары!$A$2:$A$51,0)),""))</f>
        <v/>
      </c>
      <c r="E535" s="8">
        <f>IF(OR(B535="",D535=""),"",C535*D535)</f>
        <v/>
      </c>
      <c r="F535" s="8">
        <f>IF(B535="","",IFERROR(C535*INDEX(Товары!$J$2:$J$51,MATCH(B535,Товары!$A$2:$A$51,0)),""))</f>
        <v/>
      </c>
      <c r="G535" s="2">
        <f>IF(A535="","",YEAR(A535)&amp;"-"&amp;TEXT(MONTH(A535),"00"))</f>
        <v/>
      </c>
    </row>
    <row r="536">
      <c r="A536" s="2" t="n"/>
      <c r="B536" s="2" t="n"/>
      <c r="C536" s="2" t="n"/>
      <c r="D536" s="8">
        <f>IF(B536="","",IFERROR(INDEX(Товары!$F$2:$F$51,MATCH(B536,Товары!$A$2:$A$51,0)),""))</f>
        <v/>
      </c>
      <c r="E536" s="8">
        <f>IF(OR(B536="",D536=""),"",C536*D536)</f>
        <v/>
      </c>
      <c r="F536" s="8">
        <f>IF(B536="","",IFERROR(C536*INDEX(Товары!$J$2:$J$51,MATCH(B536,Товары!$A$2:$A$51,0)),""))</f>
        <v/>
      </c>
      <c r="G536" s="2">
        <f>IF(A536="","",YEAR(A536)&amp;"-"&amp;TEXT(MONTH(A536),"00"))</f>
        <v/>
      </c>
    </row>
    <row r="537">
      <c r="A537" s="2" t="n"/>
      <c r="B537" s="2" t="n"/>
      <c r="C537" s="2" t="n"/>
      <c r="D537" s="8">
        <f>IF(B537="","",IFERROR(INDEX(Товары!$F$2:$F$51,MATCH(B537,Товары!$A$2:$A$51,0)),""))</f>
        <v/>
      </c>
      <c r="E537" s="8">
        <f>IF(OR(B537="",D537=""),"",C537*D537)</f>
        <v/>
      </c>
      <c r="F537" s="8">
        <f>IF(B537="","",IFERROR(C537*INDEX(Товары!$J$2:$J$51,MATCH(B537,Товары!$A$2:$A$51,0)),""))</f>
        <v/>
      </c>
      <c r="G537" s="2">
        <f>IF(A537="","",YEAR(A537)&amp;"-"&amp;TEXT(MONTH(A537),"00"))</f>
        <v/>
      </c>
    </row>
    <row r="538">
      <c r="A538" s="2" t="n"/>
      <c r="B538" s="2" t="n"/>
      <c r="C538" s="2" t="n"/>
      <c r="D538" s="8">
        <f>IF(B538="","",IFERROR(INDEX(Товары!$F$2:$F$51,MATCH(B538,Товары!$A$2:$A$51,0)),""))</f>
        <v/>
      </c>
      <c r="E538" s="8">
        <f>IF(OR(B538="",D538=""),"",C538*D538)</f>
        <v/>
      </c>
      <c r="F538" s="8">
        <f>IF(B538="","",IFERROR(C538*INDEX(Товары!$J$2:$J$51,MATCH(B538,Товары!$A$2:$A$51,0)),""))</f>
        <v/>
      </c>
      <c r="G538" s="2">
        <f>IF(A538="","",YEAR(A538)&amp;"-"&amp;TEXT(MONTH(A538),"00"))</f>
        <v/>
      </c>
    </row>
    <row r="539">
      <c r="A539" s="2" t="n"/>
      <c r="B539" s="2" t="n"/>
      <c r="C539" s="2" t="n"/>
      <c r="D539" s="8">
        <f>IF(B539="","",IFERROR(INDEX(Товары!$F$2:$F$51,MATCH(B539,Товары!$A$2:$A$51,0)),""))</f>
        <v/>
      </c>
      <c r="E539" s="8">
        <f>IF(OR(B539="",D539=""),"",C539*D539)</f>
        <v/>
      </c>
      <c r="F539" s="8">
        <f>IF(B539="","",IFERROR(C539*INDEX(Товары!$J$2:$J$51,MATCH(B539,Товары!$A$2:$A$51,0)),""))</f>
        <v/>
      </c>
      <c r="G539" s="2">
        <f>IF(A539="","",YEAR(A539)&amp;"-"&amp;TEXT(MONTH(A539),"00"))</f>
        <v/>
      </c>
    </row>
    <row r="540">
      <c r="A540" s="2" t="n"/>
      <c r="B540" s="2" t="n"/>
      <c r="C540" s="2" t="n"/>
      <c r="D540" s="8">
        <f>IF(B540="","",IFERROR(INDEX(Товары!$F$2:$F$51,MATCH(B540,Товары!$A$2:$A$51,0)),""))</f>
        <v/>
      </c>
      <c r="E540" s="8">
        <f>IF(OR(B540="",D540=""),"",C540*D540)</f>
        <v/>
      </c>
      <c r="F540" s="8">
        <f>IF(B540="","",IFERROR(C540*INDEX(Товары!$J$2:$J$51,MATCH(B540,Товары!$A$2:$A$51,0)),""))</f>
        <v/>
      </c>
      <c r="G540" s="2">
        <f>IF(A540="","",YEAR(A540)&amp;"-"&amp;TEXT(MONTH(A540),"00"))</f>
        <v/>
      </c>
    </row>
    <row r="541">
      <c r="A541" s="2" t="n"/>
      <c r="B541" s="2" t="n"/>
      <c r="C541" s="2" t="n"/>
      <c r="D541" s="8">
        <f>IF(B541="","",IFERROR(INDEX(Товары!$F$2:$F$51,MATCH(B541,Товары!$A$2:$A$51,0)),""))</f>
        <v/>
      </c>
      <c r="E541" s="8">
        <f>IF(OR(B541="",D541=""),"",C541*D541)</f>
        <v/>
      </c>
      <c r="F541" s="8">
        <f>IF(B541="","",IFERROR(C541*INDEX(Товары!$J$2:$J$51,MATCH(B541,Товары!$A$2:$A$51,0)),""))</f>
        <v/>
      </c>
      <c r="G541" s="2">
        <f>IF(A541="","",YEAR(A541)&amp;"-"&amp;TEXT(MONTH(A541),"00"))</f>
        <v/>
      </c>
    </row>
    <row r="542">
      <c r="A542" s="2" t="n"/>
      <c r="B542" s="2" t="n"/>
      <c r="C542" s="2" t="n"/>
      <c r="D542" s="8">
        <f>IF(B542="","",IFERROR(INDEX(Товары!$F$2:$F$51,MATCH(B542,Товары!$A$2:$A$51,0)),""))</f>
        <v/>
      </c>
      <c r="E542" s="8">
        <f>IF(OR(B542="",D542=""),"",C542*D542)</f>
        <v/>
      </c>
      <c r="F542" s="8">
        <f>IF(B542="","",IFERROR(C542*INDEX(Товары!$J$2:$J$51,MATCH(B542,Товары!$A$2:$A$51,0)),""))</f>
        <v/>
      </c>
      <c r="G542" s="2">
        <f>IF(A542="","",YEAR(A542)&amp;"-"&amp;TEXT(MONTH(A542),"00"))</f>
        <v/>
      </c>
    </row>
    <row r="543">
      <c r="A543" s="2" t="n"/>
      <c r="B543" s="2" t="n"/>
      <c r="C543" s="2" t="n"/>
      <c r="D543" s="8">
        <f>IF(B543="","",IFERROR(INDEX(Товары!$F$2:$F$51,MATCH(B543,Товары!$A$2:$A$51,0)),""))</f>
        <v/>
      </c>
      <c r="E543" s="8">
        <f>IF(OR(B543="",D543=""),"",C543*D543)</f>
        <v/>
      </c>
      <c r="F543" s="8">
        <f>IF(B543="","",IFERROR(C543*INDEX(Товары!$J$2:$J$51,MATCH(B543,Товары!$A$2:$A$51,0)),""))</f>
        <v/>
      </c>
      <c r="G543" s="2">
        <f>IF(A543="","",YEAR(A543)&amp;"-"&amp;TEXT(MONTH(A543),"00"))</f>
        <v/>
      </c>
    </row>
    <row r="544">
      <c r="A544" s="2" t="n"/>
      <c r="B544" s="2" t="n"/>
      <c r="C544" s="2" t="n"/>
      <c r="D544" s="8">
        <f>IF(B544="","",IFERROR(INDEX(Товары!$F$2:$F$51,MATCH(B544,Товары!$A$2:$A$51,0)),""))</f>
        <v/>
      </c>
      <c r="E544" s="8">
        <f>IF(OR(B544="",D544=""),"",C544*D544)</f>
        <v/>
      </c>
      <c r="F544" s="8">
        <f>IF(B544="","",IFERROR(C544*INDEX(Товары!$J$2:$J$51,MATCH(B544,Товары!$A$2:$A$51,0)),""))</f>
        <v/>
      </c>
      <c r="G544" s="2">
        <f>IF(A544="","",YEAR(A544)&amp;"-"&amp;TEXT(MONTH(A544),"00"))</f>
        <v/>
      </c>
    </row>
    <row r="545">
      <c r="A545" s="2" t="n"/>
      <c r="B545" s="2" t="n"/>
      <c r="C545" s="2" t="n"/>
      <c r="D545" s="8">
        <f>IF(B545="","",IFERROR(INDEX(Товары!$F$2:$F$51,MATCH(B545,Товары!$A$2:$A$51,0)),""))</f>
        <v/>
      </c>
      <c r="E545" s="8">
        <f>IF(OR(B545="",D545=""),"",C545*D545)</f>
        <v/>
      </c>
      <c r="F545" s="8">
        <f>IF(B545="","",IFERROR(C545*INDEX(Товары!$J$2:$J$51,MATCH(B545,Товары!$A$2:$A$51,0)),""))</f>
        <v/>
      </c>
      <c r="G545" s="2">
        <f>IF(A545="","",YEAR(A545)&amp;"-"&amp;TEXT(MONTH(A545),"00"))</f>
        <v/>
      </c>
    </row>
    <row r="546">
      <c r="A546" s="2" t="n"/>
      <c r="B546" s="2" t="n"/>
      <c r="C546" s="2" t="n"/>
      <c r="D546" s="8">
        <f>IF(B546="","",IFERROR(INDEX(Товары!$F$2:$F$51,MATCH(B546,Товары!$A$2:$A$51,0)),""))</f>
        <v/>
      </c>
      <c r="E546" s="8">
        <f>IF(OR(B546="",D546=""),"",C546*D546)</f>
        <v/>
      </c>
      <c r="F546" s="8">
        <f>IF(B546="","",IFERROR(C546*INDEX(Товары!$J$2:$J$51,MATCH(B546,Товары!$A$2:$A$51,0)),""))</f>
        <v/>
      </c>
      <c r="G546" s="2">
        <f>IF(A546="","",YEAR(A546)&amp;"-"&amp;TEXT(MONTH(A546),"00"))</f>
        <v/>
      </c>
    </row>
    <row r="547">
      <c r="A547" s="2" t="n"/>
      <c r="B547" s="2" t="n"/>
      <c r="C547" s="2" t="n"/>
      <c r="D547" s="8">
        <f>IF(B547="","",IFERROR(INDEX(Товары!$F$2:$F$51,MATCH(B547,Товары!$A$2:$A$51,0)),""))</f>
        <v/>
      </c>
      <c r="E547" s="8">
        <f>IF(OR(B547="",D547=""),"",C547*D547)</f>
        <v/>
      </c>
      <c r="F547" s="8">
        <f>IF(B547="","",IFERROR(C547*INDEX(Товары!$J$2:$J$51,MATCH(B547,Товары!$A$2:$A$51,0)),""))</f>
        <v/>
      </c>
      <c r="G547" s="2">
        <f>IF(A547="","",YEAR(A547)&amp;"-"&amp;TEXT(MONTH(A547),"00"))</f>
        <v/>
      </c>
    </row>
    <row r="548">
      <c r="A548" s="2" t="n"/>
      <c r="B548" s="2" t="n"/>
      <c r="C548" s="2" t="n"/>
      <c r="D548" s="8">
        <f>IF(B548="","",IFERROR(INDEX(Товары!$F$2:$F$51,MATCH(B548,Товары!$A$2:$A$51,0)),""))</f>
        <v/>
      </c>
      <c r="E548" s="8">
        <f>IF(OR(B548="",D548=""),"",C548*D548)</f>
        <v/>
      </c>
      <c r="F548" s="8">
        <f>IF(B548="","",IFERROR(C548*INDEX(Товары!$J$2:$J$51,MATCH(B548,Товары!$A$2:$A$51,0)),""))</f>
        <v/>
      </c>
      <c r="G548" s="2">
        <f>IF(A548="","",YEAR(A548)&amp;"-"&amp;TEXT(MONTH(A548),"00"))</f>
        <v/>
      </c>
    </row>
    <row r="549">
      <c r="A549" s="2" t="n"/>
      <c r="B549" s="2" t="n"/>
      <c r="C549" s="2" t="n"/>
      <c r="D549" s="8">
        <f>IF(B549="","",IFERROR(INDEX(Товары!$F$2:$F$51,MATCH(B549,Товары!$A$2:$A$51,0)),""))</f>
        <v/>
      </c>
      <c r="E549" s="8">
        <f>IF(OR(B549="",D549=""),"",C549*D549)</f>
        <v/>
      </c>
      <c r="F549" s="8">
        <f>IF(B549="","",IFERROR(C549*INDEX(Товары!$J$2:$J$51,MATCH(B549,Товары!$A$2:$A$51,0)),""))</f>
        <v/>
      </c>
      <c r="G549" s="2">
        <f>IF(A549="","",YEAR(A549)&amp;"-"&amp;TEXT(MONTH(A549),"00"))</f>
        <v/>
      </c>
    </row>
    <row r="550">
      <c r="A550" s="2" t="n"/>
      <c r="B550" s="2" t="n"/>
      <c r="C550" s="2" t="n"/>
      <c r="D550" s="8">
        <f>IF(B550="","",IFERROR(INDEX(Товары!$F$2:$F$51,MATCH(B550,Товары!$A$2:$A$51,0)),""))</f>
        <v/>
      </c>
      <c r="E550" s="8">
        <f>IF(OR(B550="",D550=""),"",C550*D550)</f>
        <v/>
      </c>
      <c r="F550" s="8">
        <f>IF(B550="","",IFERROR(C550*INDEX(Товары!$J$2:$J$51,MATCH(B550,Товары!$A$2:$A$51,0)),""))</f>
        <v/>
      </c>
      <c r="G550" s="2">
        <f>IF(A550="","",YEAR(A550)&amp;"-"&amp;TEXT(MONTH(A550),"00"))</f>
        <v/>
      </c>
    </row>
    <row r="551">
      <c r="A551" s="2" t="n"/>
      <c r="B551" s="2" t="n"/>
      <c r="C551" s="2" t="n"/>
      <c r="D551" s="8">
        <f>IF(B551="","",IFERROR(INDEX(Товары!$F$2:$F$51,MATCH(B551,Товары!$A$2:$A$51,0)),""))</f>
        <v/>
      </c>
      <c r="E551" s="8">
        <f>IF(OR(B551="",D551=""),"",C551*D551)</f>
        <v/>
      </c>
      <c r="F551" s="8">
        <f>IF(B551="","",IFERROR(C551*INDEX(Товары!$J$2:$J$51,MATCH(B551,Товары!$A$2:$A$51,0)),""))</f>
        <v/>
      </c>
      <c r="G551" s="2">
        <f>IF(A551="","",YEAR(A551)&amp;"-"&amp;TEXT(MONTH(A551),"00"))</f>
        <v/>
      </c>
    </row>
    <row r="552">
      <c r="A552" s="2" t="n"/>
      <c r="B552" s="2" t="n"/>
      <c r="C552" s="2" t="n"/>
      <c r="D552" s="8">
        <f>IF(B552="","",IFERROR(INDEX(Товары!$F$2:$F$51,MATCH(B552,Товары!$A$2:$A$51,0)),""))</f>
        <v/>
      </c>
      <c r="E552" s="8">
        <f>IF(OR(B552="",D552=""),"",C552*D552)</f>
        <v/>
      </c>
      <c r="F552" s="8">
        <f>IF(B552="","",IFERROR(C552*INDEX(Товары!$J$2:$J$51,MATCH(B552,Товары!$A$2:$A$51,0)),""))</f>
        <v/>
      </c>
      <c r="G552" s="2">
        <f>IF(A552="","",YEAR(A552)&amp;"-"&amp;TEXT(MONTH(A552),"00"))</f>
        <v/>
      </c>
    </row>
    <row r="553">
      <c r="A553" s="2" t="n"/>
      <c r="B553" s="2" t="n"/>
      <c r="C553" s="2" t="n"/>
      <c r="D553" s="8">
        <f>IF(B553="","",IFERROR(INDEX(Товары!$F$2:$F$51,MATCH(B553,Товары!$A$2:$A$51,0)),""))</f>
        <v/>
      </c>
      <c r="E553" s="8">
        <f>IF(OR(B553="",D553=""),"",C553*D553)</f>
        <v/>
      </c>
      <c r="F553" s="8">
        <f>IF(B553="","",IFERROR(C553*INDEX(Товары!$J$2:$J$51,MATCH(B553,Товары!$A$2:$A$51,0)),""))</f>
        <v/>
      </c>
      <c r="G553" s="2">
        <f>IF(A553="","",YEAR(A553)&amp;"-"&amp;TEXT(MONTH(A553),"00"))</f>
        <v/>
      </c>
    </row>
    <row r="554">
      <c r="A554" s="2" t="n"/>
      <c r="B554" s="2" t="n"/>
      <c r="C554" s="2" t="n"/>
      <c r="D554" s="8">
        <f>IF(B554="","",IFERROR(INDEX(Товары!$F$2:$F$51,MATCH(B554,Товары!$A$2:$A$51,0)),""))</f>
        <v/>
      </c>
      <c r="E554" s="8">
        <f>IF(OR(B554="",D554=""),"",C554*D554)</f>
        <v/>
      </c>
      <c r="F554" s="8">
        <f>IF(B554="","",IFERROR(C554*INDEX(Товары!$J$2:$J$51,MATCH(B554,Товары!$A$2:$A$51,0)),""))</f>
        <v/>
      </c>
      <c r="G554" s="2">
        <f>IF(A554="","",YEAR(A554)&amp;"-"&amp;TEXT(MONTH(A554),"00"))</f>
        <v/>
      </c>
    </row>
    <row r="555">
      <c r="A555" s="2" t="n"/>
      <c r="B555" s="2" t="n"/>
      <c r="C555" s="2" t="n"/>
      <c r="D555" s="8">
        <f>IF(B555="","",IFERROR(INDEX(Товары!$F$2:$F$51,MATCH(B555,Товары!$A$2:$A$51,0)),""))</f>
        <v/>
      </c>
      <c r="E555" s="8">
        <f>IF(OR(B555="",D555=""),"",C555*D555)</f>
        <v/>
      </c>
      <c r="F555" s="8">
        <f>IF(B555="","",IFERROR(C555*INDEX(Товары!$J$2:$J$51,MATCH(B555,Товары!$A$2:$A$51,0)),""))</f>
        <v/>
      </c>
      <c r="G555" s="2">
        <f>IF(A555="","",YEAR(A555)&amp;"-"&amp;TEXT(MONTH(A555),"00"))</f>
        <v/>
      </c>
    </row>
    <row r="556">
      <c r="A556" s="2" t="n"/>
      <c r="B556" s="2" t="n"/>
      <c r="C556" s="2" t="n"/>
      <c r="D556" s="8">
        <f>IF(B556="","",IFERROR(INDEX(Товары!$F$2:$F$51,MATCH(B556,Товары!$A$2:$A$51,0)),""))</f>
        <v/>
      </c>
      <c r="E556" s="8">
        <f>IF(OR(B556="",D556=""),"",C556*D556)</f>
        <v/>
      </c>
      <c r="F556" s="8">
        <f>IF(B556="","",IFERROR(C556*INDEX(Товары!$J$2:$J$51,MATCH(B556,Товары!$A$2:$A$51,0)),""))</f>
        <v/>
      </c>
      <c r="G556" s="2">
        <f>IF(A556="","",YEAR(A556)&amp;"-"&amp;TEXT(MONTH(A556),"00"))</f>
        <v/>
      </c>
    </row>
    <row r="557">
      <c r="A557" s="2" t="n"/>
      <c r="B557" s="2" t="n"/>
      <c r="C557" s="2" t="n"/>
      <c r="D557" s="8">
        <f>IF(B557="","",IFERROR(INDEX(Товары!$F$2:$F$51,MATCH(B557,Товары!$A$2:$A$51,0)),""))</f>
        <v/>
      </c>
      <c r="E557" s="8">
        <f>IF(OR(B557="",D557=""),"",C557*D557)</f>
        <v/>
      </c>
      <c r="F557" s="8">
        <f>IF(B557="","",IFERROR(C557*INDEX(Товары!$J$2:$J$51,MATCH(B557,Товары!$A$2:$A$51,0)),""))</f>
        <v/>
      </c>
      <c r="G557" s="2">
        <f>IF(A557="","",YEAR(A557)&amp;"-"&amp;TEXT(MONTH(A557),"00"))</f>
        <v/>
      </c>
    </row>
    <row r="558">
      <c r="A558" s="2" t="n"/>
      <c r="B558" s="2" t="n"/>
      <c r="C558" s="2" t="n"/>
      <c r="D558" s="8">
        <f>IF(B558="","",IFERROR(INDEX(Товары!$F$2:$F$51,MATCH(B558,Товары!$A$2:$A$51,0)),""))</f>
        <v/>
      </c>
      <c r="E558" s="8">
        <f>IF(OR(B558="",D558=""),"",C558*D558)</f>
        <v/>
      </c>
      <c r="F558" s="8">
        <f>IF(B558="","",IFERROR(C558*INDEX(Товары!$J$2:$J$51,MATCH(B558,Товары!$A$2:$A$51,0)),""))</f>
        <v/>
      </c>
      <c r="G558" s="2">
        <f>IF(A558="","",YEAR(A558)&amp;"-"&amp;TEXT(MONTH(A558),"00"))</f>
        <v/>
      </c>
    </row>
    <row r="559">
      <c r="A559" s="2" t="n"/>
      <c r="B559" s="2" t="n"/>
      <c r="C559" s="2" t="n"/>
      <c r="D559" s="8">
        <f>IF(B559="","",IFERROR(INDEX(Товары!$F$2:$F$51,MATCH(B559,Товары!$A$2:$A$51,0)),""))</f>
        <v/>
      </c>
      <c r="E559" s="8">
        <f>IF(OR(B559="",D559=""),"",C559*D559)</f>
        <v/>
      </c>
      <c r="F559" s="8">
        <f>IF(B559="","",IFERROR(C559*INDEX(Товары!$J$2:$J$51,MATCH(B559,Товары!$A$2:$A$51,0)),""))</f>
        <v/>
      </c>
      <c r="G559" s="2">
        <f>IF(A559="","",YEAR(A559)&amp;"-"&amp;TEXT(MONTH(A559),"00"))</f>
        <v/>
      </c>
    </row>
    <row r="560">
      <c r="A560" s="2" t="n"/>
      <c r="B560" s="2" t="n"/>
      <c r="C560" s="2" t="n"/>
      <c r="D560" s="8">
        <f>IF(B560="","",IFERROR(INDEX(Товары!$F$2:$F$51,MATCH(B560,Товары!$A$2:$A$51,0)),""))</f>
        <v/>
      </c>
      <c r="E560" s="8">
        <f>IF(OR(B560="",D560=""),"",C560*D560)</f>
        <v/>
      </c>
      <c r="F560" s="8">
        <f>IF(B560="","",IFERROR(C560*INDEX(Товары!$J$2:$J$51,MATCH(B560,Товары!$A$2:$A$51,0)),""))</f>
        <v/>
      </c>
      <c r="G560" s="2">
        <f>IF(A560="","",YEAR(A560)&amp;"-"&amp;TEXT(MONTH(A560),"00"))</f>
        <v/>
      </c>
    </row>
    <row r="561">
      <c r="A561" s="2" t="n"/>
      <c r="B561" s="2" t="n"/>
      <c r="C561" s="2" t="n"/>
      <c r="D561" s="8">
        <f>IF(B561="","",IFERROR(INDEX(Товары!$F$2:$F$51,MATCH(B561,Товары!$A$2:$A$51,0)),""))</f>
        <v/>
      </c>
      <c r="E561" s="8">
        <f>IF(OR(B561="",D561=""),"",C561*D561)</f>
        <v/>
      </c>
      <c r="F561" s="8">
        <f>IF(B561="","",IFERROR(C561*INDEX(Товары!$J$2:$J$51,MATCH(B561,Товары!$A$2:$A$51,0)),""))</f>
        <v/>
      </c>
      <c r="G561" s="2">
        <f>IF(A561="","",YEAR(A561)&amp;"-"&amp;TEXT(MONTH(A561),"00"))</f>
        <v/>
      </c>
    </row>
    <row r="562">
      <c r="A562" s="2" t="n"/>
      <c r="B562" s="2" t="n"/>
      <c r="C562" s="2" t="n"/>
      <c r="D562" s="8">
        <f>IF(B562="","",IFERROR(INDEX(Товары!$F$2:$F$51,MATCH(B562,Товары!$A$2:$A$51,0)),""))</f>
        <v/>
      </c>
      <c r="E562" s="8">
        <f>IF(OR(B562="",D562=""),"",C562*D562)</f>
        <v/>
      </c>
      <c r="F562" s="8">
        <f>IF(B562="","",IFERROR(C562*INDEX(Товары!$J$2:$J$51,MATCH(B562,Товары!$A$2:$A$51,0)),""))</f>
        <v/>
      </c>
      <c r="G562" s="2">
        <f>IF(A562="","",YEAR(A562)&amp;"-"&amp;TEXT(MONTH(A562),"00"))</f>
        <v/>
      </c>
    </row>
    <row r="563">
      <c r="A563" s="2" t="n"/>
      <c r="B563" s="2" t="n"/>
      <c r="C563" s="2" t="n"/>
      <c r="D563" s="8">
        <f>IF(B563="","",IFERROR(INDEX(Товары!$F$2:$F$51,MATCH(B563,Товары!$A$2:$A$51,0)),""))</f>
        <v/>
      </c>
      <c r="E563" s="8">
        <f>IF(OR(B563="",D563=""),"",C563*D563)</f>
        <v/>
      </c>
      <c r="F563" s="8">
        <f>IF(B563="","",IFERROR(C563*INDEX(Товары!$J$2:$J$51,MATCH(B563,Товары!$A$2:$A$51,0)),""))</f>
        <v/>
      </c>
      <c r="G563" s="2">
        <f>IF(A563="","",YEAR(A563)&amp;"-"&amp;TEXT(MONTH(A563),"00"))</f>
        <v/>
      </c>
    </row>
    <row r="564">
      <c r="A564" s="2" t="n"/>
      <c r="B564" s="2" t="n"/>
      <c r="C564" s="2" t="n"/>
      <c r="D564" s="8">
        <f>IF(B564="","",IFERROR(INDEX(Товары!$F$2:$F$51,MATCH(B564,Товары!$A$2:$A$51,0)),""))</f>
        <v/>
      </c>
      <c r="E564" s="8">
        <f>IF(OR(B564="",D564=""),"",C564*D564)</f>
        <v/>
      </c>
      <c r="F564" s="8">
        <f>IF(B564="","",IFERROR(C564*INDEX(Товары!$J$2:$J$51,MATCH(B564,Товары!$A$2:$A$51,0)),""))</f>
        <v/>
      </c>
      <c r="G564" s="2">
        <f>IF(A564="","",YEAR(A564)&amp;"-"&amp;TEXT(MONTH(A564),"00"))</f>
        <v/>
      </c>
    </row>
    <row r="565">
      <c r="A565" s="2" t="n"/>
      <c r="B565" s="2" t="n"/>
      <c r="C565" s="2" t="n"/>
      <c r="D565" s="8">
        <f>IF(B565="","",IFERROR(INDEX(Товары!$F$2:$F$51,MATCH(B565,Товары!$A$2:$A$51,0)),""))</f>
        <v/>
      </c>
      <c r="E565" s="8">
        <f>IF(OR(B565="",D565=""),"",C565*D565)</f>
        <v/>
      </c>
      <c r="F565" s="8">
        <f>IF(B565="","",IFERROR(C565*INDEX(Товары!$J$2:$J$51,MATCH(B565,Товары!$A$2:$A$51,0)),""))</f>
        <v/>
      </c>
      <c r="G565" s="2">
        <f>IF(A565="","",YEAR(A565)&amp;"-"&amp;TEXT(MONTH(A565),"00"))</f>
        <v/>
      </c>
    </row>
    <row r="566">
      <c r="A566" s="2" t="n"/>
      <c r="B566" s="2" t="n"/>
      <c r="C566" s="2" t="n"/>
      <c r="D566" s="8">
        <f>IF(B566="","",IFERROR(INDEX(Товары!$F$2:$F$51,MATCH(B566,Товары!$A$2:$A$51,0)),""))</f>
        <v/>
      </c>
      <c r="E566" s="8">
        <f>IF(OR(B566="",D566=""),"",C566*D566)</f>
        <v/>
      </c>
      <c r="F566" s="8">
        <f>IF(B566="","",IFERROR(C566*INDEX(Товары!$J$2:$J$51,MATCH(B566,Товары!$A$2:$A$51,0)),""))</f>
        <v/>
      </c>
      <c r="G566" s="2">
        <f>IF(A566="","",YEAR(A566)&amp;"-"&amp;TEXT(MONTH(A566),"00"))</f>
        <v/>
      </c>
    </row>
    <row r="567">
      <c r="A567" s="2" t="n"/>
      <c r="B567" s="2" t="n"/>
      <c r="C567" s="2" t="n"/>
      <c r="D567" s="8">
        <f>IF(B567="","",IFERROR(INDEX(Товары!$F$2:$F$51,MATCH(B567,Товары!$A$2:$A$51,0)),""))</f>
        <v/>
      </c>
      <c r="E567" s="8">
        <f>IF(OR(B567="",D567=""),"",C567*D567)</f>
        <v/>
      </c>
      <c r="F567" s="8">
        <f>IF(B567="","",IFERROR(C567*INDEX(Товары!$J$2:$J$51,MATCH(B567,Товары!$A$2:$A$51,0)),""))</f>
        <v/>
      </c>
      <c r="G567" s="2">
        <f>IF(A567="","",YEAR(A567)&amp;"-"&amp;TEXT(MONTH(A567),"00"))</f>
        <v/>
      </c>
    </row>
    <row r="568">
      <c r="A568" s="2" t="n"/>
      <c r="B568" s="2" t="n"/>
      <c r="C568" s="2" t="n"/>
      <c r="D568" s="8">
        <f>IF(B568="","",IFERROR(INDEX(Товары!$F$2:$F$51,MATCH(B568,Товары!$A$2:$A$51,0)),""))</f>
        <v/>
      </c>
      <c r="E568" s="8">
        <f>IF(OR(B568="",D568=""),"",C568*D568)</f>
        <v/>
      </c>
      <c r="F568" s="8">
        <f>IF(B568="","",IFERROR(C568*INDEX(Товары!$J$2:$J$51,MATCH(B568,Товары!$A$2:$A$51,0)),""))</f>
        <v/>
      </c>
      <c r="G568" s="2">
        <f>IF(A568="","",YEAR(A568)&amp;"-"&amp;TEXT(MONTH(A568),"00"))</f>
        <v/>
      </c>
    </row>
    <row r="569">
      <c r="A569" s="2" t="n"/>
      <c r="B569" s="2" t="n"/>
      <c r="C569" s="2" t="n"/>
      <c r="D569" s="8">
        <f>IF(B569="","",IFERROR(INDEX(Товары!$F$2:$F$51,MATCH(B569,Товары!$A$2:$A$51,0)),""))</f>
        <v/>
      </c>
      <c r="E569" s="8">
        <f>IF(OR(B569="",D569=""),"",C569*D569)</f>
        <v/>
      </c>
      <c r="F569" s="8">
        <f>IF(B569="","",IFERROR(C569*INDEX(Товары!$J$2:$J$51,MATCH(B569,Товары!$A$2:$A$51,0)),""))</f>
        <v/>
      </c>
      <c r="G569" s="2">
        <f>IF(A569="","",YEAR(A569)&amp;"-"&amp;TEXT(MONTH(A569),"00"))</f>
        <v/>
      </c>
    </row>
    <row r="570">
      <c r="A570" s="2" t="n"/>
      <c r="B570" s="2" t="n"/>
      <c r="C570" s="2" t="n"/>
      <c r="D570" s="8">
        <f>IF(B570="","",IFERROR(INDEX(Товары!$F$2:$F$51,MATCH(B570,Товары!$A$2:$A$51,0)),""))</f>
        <v/>
      </c>
      <c r="E570" s="8">
        <f>IF(OR(B570="",D570=""),"",C570*D570)</f>
        <v/>
      </c>
      <c r="F570" s="8">
        <f>IF(B570="","",IFERROR(C570*INDEX(Товары!$J$2:$J$51,MATCH(B570,Товары!$A$2:$A$51,0)),""))</f>
        <v/>
      </c>
      <c r="G570" s="2">
        <f>IF(A570="","",YEAR(A570)&amp;"-"&amp;TEXT(MONTH(A570),"00"))</f>
        <v/>
      </c>
    </row>
    <row r="571">
      <c r="A571" s="2" t="n"/>
      <c r="B571" s="2" t="n"/>
      <c r="C571" s="2" t="n"/>
      <c r="D571" s="8">
        <f>IF(B571="","",IFERROR(INDEX(Товары!$F$2:$F$51,MATCH(B571,Товары!$A$2:$A$51,0)),""))</f>
        <v/>
      </c>
      <c r="E571" s="8">
        <f>IF(OR(B571="",D571=""),"",C571*D571)</f>
        <v/>
      </c>
      <c r="F571" s="8">
        <f>IF(B571="","",IFERROR(C571*INDEX(Товары!$J$2:$J$51,MATCH(B571,Товары!$A$2:$A$51,0)),""))</f>
        <v/>
      </c>
      <c r="G571" s="2">
        <f>IF(A571="","",YEAR(A571)&amp;"-"&amp;TEXT(MONTH(A571),"00"))</f>
        <v/>
      </c>
    </row>
    <row r="572">
      <c r="A572" s="2" t="n"/>
      <c r="B572" s="2" t="n"/>
      <c r="C572" s="2" t="n"/>
      <c r="D572" s="8">
        <f>IF(B572="","",IFERROR(INDEX(Товары!$F$2:$F$51,MATCH(B572,Товары!$A$2:$A$51,0)),""))</f>
        <v/>
      </c>
      <c r="E572" s="8">
        <f>IF(OR(B572="",D572=""),"",C572*D572)</f>
        <v/>
      </c>
      <c r="F572" s="8">
        <f>IF(B572="","",IFERROR(C572*INDEX(Товары!$J$2:$J$51,MATCH(B572,Товары!$A$2:$A$51,0)),""))</f>
        <v/>
      </c>
      <c r="G572" s="2">
        <f>IF(A572="","",YEAR(A572)&amp;"-"&amp;TEXT(MONTH(A572),"00"))</f>
        <v/>
      </c>
    </row>
    <row r="573">
      <c r="A573" s="2" t="n"/>
      <c r="B573" s="2" t="n"/>
      <c r="C573" s="2" t="n"/>
      <c r="D573" s="8">
        <f>IF(B573="","",IFERROR(INDEX(Товары!$F$2:$F$51,MATCH(B573,Товары!$A$2:$A$51,0)),""))</f>
        <v/>
      </c>
      <c r="E573" s="8">
        <f>IF(OR(B573="",D573=""),"",C573*D573)</f>
        <v/>
      </c>
      <c r="F573" s="8">
        <f>IF(B573="","",IFERROR(C573*INDEX(Товары!$J$2:$J$51,MATCH(B573,Товары!$A$2:$A$51,0)),""))</f>
        <v/>
      </c>
      <c r="G573" s="2">
        <f>IF(A573="","",YEAR(A573)&amp;"-"&amp;TEXT(MONTH(A573),"00"))</f>
        <v/>
      </c>
    </row>
    <row r="574">
      <c r="A574" s="2" t="n"/>
      <c r="B574" s="2" t="n"/>
      <c r="C574" s="2" t="n"/>
      <c r="D574" s="8">
        <f>IF(B574="","",IFERROR(INDEX(Товары!$F$2:$F$51,MATCH(B574,Товары!$A$2:$A$51,0)),""))</f>
        <v/>
      </c>
      <c r="E574" s="8">
        <f>IF(OR(B574="",D574=""),"",C574*D574)</f>
        <v/>
      </c>
      <c r="F574" s="8">
        <f>IF(B574="","",IFERROR(C574*INDEX(Товары!$J$2:$J$51,MATCH(B574,Товары!$A$2:$A$51,0)),""))</f>
        <v/>
      </c>
      <c r="G574" s="2">
        <f>IF(A574="","",YEAR(A574)&amp;"-"&amp;TEXT(MONTH(A574),"00"))</f>
        <v/>
      </c>
    </row>
    <row r="575">
      <c r="A575" s="2" t="n"/>
      <c r="B575" s="2" t="n"/>
      <c r="C575" s="2" t="n"/>
      <c r="D575" s="8">
        <f>IF(B575="","",IFERROR(INDEX(Товары!$F$2:$F$51,MATCH(B575,Товары!$A$2:$A$51,0)),""))</f>
        <v/>
      </c>
      <c r="E575" s="8">
        <f>IF(OR(B575="",D575=""),"",C575*D575)</f>
        <v/>
      </c>
      <c r="F575" s="8">
        <f>IF(B575="","",IFERROR(C575*INDEX(Товары!$J$2:$J$51,MATCH(B575,Товары!$A$2:$A$51,0)),""))</f>
        <v/>
      </c>
      <c r="G575" s="2">
        <f>IF(A575="","",YEAR(A575)&amp;"-"&amp;TEXT(MONTH(A575),"00"))</f>
        <v/>
      </c>
    </row>
    <row r="576">
      <c r="A576" s="2" t="n"/>
      <c r="B576" s="2" t="n"/>
      <c r="C576" s="2" t="n"/>
      <c r="D576" s="8">
        <f>IF(B576="","",IFERROR(INDEX(Товары!$F$2:$F$51,MATCH(B576,Товары!$A$2:$A$51,0)),""))</f>
        <v/>
      </c>
      <c r="E576" s="8">
        <f>IF(OR(B576="",D576=""),"",C576*D576)</f>
        <v/>
      </c>
      <c r="F576" s="8">
        <f>IF(B576="","",IFERROR(C576*INDEX(Товары!$J$2:$J$51,MATCH(B576,Товары!$A$2:$A$51,0)),""))</f>
        <v/>
      </c>
      <c r="G576" s="2">
        <f>IF(A576="","",YEAR(A576)&amp;"-"&amp;TEXT(MONTH(A576),"00"))</f>
        <v/>
      </c>
    </row>
    <row r="577">
      <c r="A577" s="2" t="n"/>
      <c r="B577" s="2" t="n"/>
      <c r="C577" s="2" t="n"/>
      <c r="D577" s="8">
        <f>IF(B577="","",IFERROR(INDEX(Товары!$F$2:$F$51,MATCH(B577,Товары!$A$2:$A$51,0)),""))</f>
        <v/>
      </c>
      <c r="E577" s="8">
        <f>IF(OR(B577="",D577=""),"",C577*D577)</f>
        <v/>
      </c>
      <c r="F577" s="8">
        <f>IF(B577="","",IFERROR(C577*INDEX(Товары!$J$2:$J$51,MATCH(B577,Товары!$A$2:$A$51,0)),""))</f>
        <v/>
      </c>
      <c r="G577" s="2">
        <f>IF(A577="","",YEAR(A577)&amp;"-"&amp;TEXT(MONTH(A577),"00"))</f>
        <v/>
      </c>
    </row>
    <row r="578">
      <c r="A578" s="2" t="n"/>
      <c r="B578" s="2" t="n"/>
      <c r="C578" s="2" t="n"/>
      <c r="D578" s="8">
        <f>IF(B578="","",IFERROR(INDEX(Товары!$F$2:$F$51,MATCH(B578,Товары!$A$2:$A$51,0)),""))</f>
        <v/>
      </c>
      <c r="E578" s="8">
        <f>IF(OR(B578="",D578=""),"",C578*D578)</f>
        <v/>
      </c>
      <c r="F578" s="8">
        <f>IF(B578="","",IFERROR(C578*INDEX(Товары!$J$2:$J$51,MATCH(B578,Товары!$A$2:$A$51,0)),""))</f>
        <v/>
      </c>
      <c r="G578" s="2">
        <f>IF(A578="","",YEAR(A578)&amp;"-"&amp;TEXT(MONTH(A578),"00"))</f>
        <v/>
      </c>
    </row>
    <row r="579">
      <c r="A579" s="2" t="n"/>
      <c r="B579" s="2" t="n"/>
      <c r="C579" s="2" t="n"/>
      <c r="D579" s="8">
        <f>IF(B579="","",IFERROR(INDEX(Товары!$F$2:$F$51,MATCH(B579,Товары!$A$2:$A$51,0)),""))</f>
        <v/>
      </c>
      <c r="E579" s="8">
        <f>IF(OR(B579="",D579=""),"",C579*D579)</f>
        <v/>
      </c>
      <c r="F579" s="8">
        <f>IF(B579="","",IFERROR(C579*INDEX(Товары!$J$2:$J$51,MATCH(B579,Товары!$A$2:$A$51,0)),""))</f>
        <v/>
      </c>
      <c r="G579" s="2">
        <f>IF(A579="","",YEAR(A579)&amp;"-"&amp;TEXT(MONTH(A579),"00"))</f>
        <v/>
      </c>
    </row>
    <row r="580">
      <c r="A580" s="2" t="n"/>
      <c r="B580" s="2" t="n"/>
      <c r="C580" s="2" t="n"/>
      <c r="D580" s="8">
        <f>IF(B580="","",IFERROR(INDEX(Товары!$F$2:$F$51,MATCH(B580,Товары!$A$2:$A$51,0)),""))</f>
        <v/>
      </c>
      <c r="E580" s="8">
        <f>IF(OR(B580="",D580=""),"",C580*D580)</f>
        <v/>
      </c>
      <c r="F580" s="8">
        <f>IF(B580="","",IFERROR(C580*INDEX(Товары!$J$2:$J$51,MATCH(B580,Товары!$A$2:$A$51,0)),""))</f>
        <v/>
      </c>
      <c r="G580" s="2">
        <f>IF(A580="","",YEAR(A580)&amp;"-"&amp;TEXT(MONTH(A580),"00"))</f>
        <v/>
      </c>
    </row>
    <row r="581">
      <c r="A581" s="2" t="n"/>
      <c r="B581" s="2" t="n"/>
      <c r="C581" s="2" t="n"/>
      <c r="D581" s="8">
        <f>IF(B581="","",IFERROR(INDEX(Товары!$F$2:$F$51,MATCH(B581,Товары!$A$2:$A$51,0)),""))</f>
        <v/>
      </c>
      <c r="E581" s="8">
        <f>IF(OR(B581="",D581=""),"",C581*D581)</f>
        <v/>
      </c>
      <c r="F581" s="8">
        <f>IF(B581="","",IFERROR(C581*INDEX(Товары!$J$2:$J$51,MATCH(B581,Товары!$A$2:$A$51,0)),""))</f>
        <v/>
      </c>
      <c r="G581" s="2">
        <f>IF(A581="","",YEAR(A581)&amp;"-"&amp;TEXT(MONTH(A581),"00"))</f>
        <v/>
      </c>
    </row>
    <row r="582">
      <c r="A582" s="2" t="n"/>
      <c r="B582" s="2" t="n"/>
      <c r="C582" s="2" t="n"/>
      <c r="D582" s="8">
        <f>IF(B582="","",IFERROR(INDEX(Товары!$F$2:$F$51,MATCH(B582,Товары!$A$2:$A$51,0)),""))</f>
        <v/>
      </c>
      <c r="E582" s="8">
        <f>IF(OR(B582="",D582=""),"",C582*D582)</f>
        <v/>
      </c>
      <c r="F582" s="8">
        <f>IF(B582="","",IFERROR(C582*INDEX(Товары!$J$2:$J$51,MATCH(B582,Товары!$A$2:$A$51,0)),""))</f>
        <v/>
      </c>
      <c r="G582" s="2">
        <f>IF(A582="","",YEAR(A582)&amp;"-"&amp;TEXT(MONTH(A582),"00"))</f>
        <v/>
      </c>
    </row>
    <row r="583">
      <c r="A583" s="2" t="n"/>
      <c r="B583" s="2" t="n"/>
      <c r="C583" s="2" t="n"/>
      <c r="D583" s="8">
        <f>IF(B583="","",IFERROR(INDEX(Товары!$F$2:$F$51,MATCH(B583,Товары!$A$2:$A$51,0)),""))</f>
        <v/>
      </c>
      <c r="E583" s="8">
        <f>IF(OR(B583="",D583=""),"",C583*D583)</f>
        <v/>
      </c>
      <c r="F583" s="8">
        <f>IF(B583="","",IFERROR(C583*INDEX(Товары!$J$2:$J$51,MATCH(B583,Товары!$A$2:$A$51,0)),""))</f>
        <v/>
      </c>
      <c r="G583" s="2">
        <f>IF(A583="","",YEAR(A583)&amp;"-"&amp;TEXT(MONTH(A583),"00"))</f>
        <v/>
      </c>
    </row>
    <row r="584">
      <c r="A584" s="2" t="n"/>
      <c r="B584" s="2" t="n"/>
      <c r="C584" s="2" t="n"/>
      <c r="D584" s="8">
        <f>IF(B584="","",IFERROR(INDEX(Товары!$F$2:$F$51,MATCH(B584,Товары!$A$2:$A$51,0)),""))</f>
        <v/>
      </c>
      <c r="E584" s="8">
        <f>IF(OR(B584="",D584=""),"",C584*D584)</f>
        <v/>
      </c>
      <c r="F584" s="8">
        <f>IF(B584="","",IFERROR(C584*INDEX(Товары!$J$2:$J$51,MATCH(B584,Товары!$A$2:$A$51,0)),""))</f>
        <v/>
      </c>
      <c r="G584" s="2">
        <f>IF(A584="","",YEAR(A584)&amp;"-"&amp;TEXT(MONTH(A584),"00"))</f>
        <v/>
      </c>
    </row>
    <row r="585">
      <c r="A585" s="2" t="n"/>
      <c r="B585" s="2" t="n"/>
      <c r="C585" s="2" t="n"/>
      <c r="D585" s="8">
        <f>IF(B585="","",IFERROR(INDEX(Товары!$F$2:$F$51,MATCH(B585,Товары!$A$2:$A$51,0)),""))</f>
        <v/>
      </c>
      <c r="E585" s="8">
        <f>IF(OR(B585="",D585=""),"",C585*D585)</f>
        <v/>
      </c>
      <c r="F585" s="8">
        <f>IF(B585="","",IFERROR(C585*INDEX(Товары!$J$2:$J$51,MATCH(B585,Товары!$A$2:$A$51,0)),""))</f>
        <v/>
      </c>
      <c r="G585" s="2">
        <f>IF(A585="","",YEAR(A585)&amp;"-"&amp;TEXT(MONTH(A585),"00"))</f>
        <v/>
      </c>
    </row>
    <row r="586">
      <c r="A586" s="2" t="n"/>
      <c r="B586" s="2" t="n"/>
      <c r="C586" s="2" t="n"/>
      <c r="D586" s="8">
        <f>IF(B586="","",IFERROR(INDEX(Товары!$F$2:$F$51,MATCH(B586,Товары!$A$2:$A$51,0)),""))</f>
        <v/>
      </c>
      <c r="E586" s="8">
        <f>IF(OR(B586="",D586=""),"",C586*D586)</f>
        <v/>
      </c>
      <c r="F586" s="8">
        <f>IF(B586="","",IFERROR(C586*INDEX(Товары!$J$2:$J$51,MATCH(B586,Товары!$A$2:$A$51,0)),""))</f>
        <v/>
      </c>
      <c r="G586" s="2">
        <f>IF(A586="","",YEAR(A586)&amp;"-"&amp;TEXT(MONTH(A586),"00"))</f>
        <v/>
      </c>
    </row>
    <row r="587">
      <c r="A587" s="2" t="n"/>
      <c r="B587" s="2" t="n"/>
      <c r="C587" s="2" t="n"/>
      <c r="D587" s="8">
        <f>IF(B587="","",IFERROR(INDEX(Товары!$F$2:$F$51,MATCH(B587,Товары!$A$2:$A$51,0)),""))</f>
        <v/>
      </c>
      <c r="E587" s="8">
        <f>IF(OR(B587="",D587=""),"",C587*D587)</f>
        <v/>
      </c>
      <c r="F587" s="8">
        <f>IF(B587="","",IFERROR(C587*INDEX(Товары!$J$2:$J$51,MATCH(B587,Товары!$A$2:$A$51,0)),""))</f>
        <v/>
      </c>
      <c r="G587" s="2">
        <f>IF(A587="","",YEAR(A587)&amp;"-"&amp;TEXT(MONTH(A587),"00"))</f>
        <v/>
      </c>
    </row>
    <row r="588">
      <c r="A588" s="2" t="n"/>
      <c r="B588" s="2" t="n"/>
      <c r="C588" s="2" t="n"/>
      <c r="D588" s="8">
        <f>IF(B588="","",IFERROR(INDEX(Товары!$F$2:$F$51,MATCH(B588,Товары!$A$2:$A$51,0)),""))</f>
        <v/>
      </c>
      <c r="E588" s="8">
        <f>IF(OR(B588="",D588=""),"",C588*D588)</f>
        <v/>
      </c>
      <c r="F588" s="8">
        <f>IF(B588="","",IFERROR(C588*INDEX(Товары!$J$2:$J$51,MATCH(B588,Товары!$A$2:$A$51,0)),""))</f>
        <v/>
      </c>
      <c r="G588" s="2">
        <f>IF(A588="","",YEAR(A588)&amp;"-"&amp;TEXT(MONTH(A588),"00"))</f>
        <v/>
      </c>
    </row>
    <row r="589">
      <c r="A589" s="2" t="n"/>
      <c r="B589" s="2" t="n"/>
      <c r="C589" s="2" t="n"/>
      <c r="D589" s="8">
        <f>IF(B589="","",IFERROR(INDEX(Товары!$F$2:$F$51,MATCH(B589,Товары!$A$2:$A$51,0)),""))</f>
        <v/>
      </c>
      <c r="E589" s="8">
        <f>IF(OR(B589="",D589=""),"",C589*D589)</f>
        <v/>
      </c>
      <c r="F589" s="8">
        <f>IF(B589="","",IFERROR(C589*INDEX(Товары!$J$2:$J$51,MATCH(B589,Товары!$A$2:$A$51,0)),""))</f>
        <v/>
      </c>
      <c r="G589" s="2">
        <f>IF(A589="","",YEAR(A589)&amp;"-"&amp;TEXT(MONTH(A589),"00"))</f>
        <v/>
      </c>
    </row>
    <row r="590">
      <c r="A590" s="2" t="n"/>
      <c r="B590" s="2" t="n"/>
      <c r="C590" s="2" t="n"/>
      <c r="D590" s="8">
        <f>IF(B590="","",IFERROR(INDEX(Товары!$F$2:$F$51,MATCH(B590,Товары!$A$2:$A$51,0)),""))</f>
        <v/>
      </c>
      <c r="E590" s="8">
        <f>IF(OR(B590="",D590=""),"",C590*D590)</f>
        <v/>
      </c>
      <c r="F590" s="8">
        <f>IF(B590="","",IFERROR(C590*INDEX(Товары!$J$2:$J$51,MATCH(B590,Товары!$A$2:$A$51,0)),""))</f>
        <v/>
      </c>
      <c r="G590" s="2">
        <f>IF(A590="","",YEAR(A590)&amp;"-"&amp;TEXT(MONTH(A590),"00"))</f>
        <v/>
      </c>
    </row>
    <row r="591">
      <c r="A591" s="2" t="n"/>
      <c r="B591" s="2" t="n"/>
      <c r="C591" s="2" t="n"/>
      <c r="D591" s="8">
        <f>IF(B591="","",IFERROR(INDEX(Товары!$F$2:$F$51,MATCH(B591,Товары!$A$2:$A$51,0)),""))</f>
        <v/>
      </c>
      <c r="E591" s="8">
        <f>IF(OR(B591="",D591=""),"",C591*D591)</f>
        <v/>
      </c>
      <c r="F591" s="8">
        <f>IF(B591="","",IFERROR(C591*INDEX(Товары!$J$2:$J$51,MATCH(B591,Товары!$A$2:$A$51,0)),""))</f>
        <v/>
      </c>
      <c r="G591" s="2">
        <f>IF(A591="","",YEAR(A591)&amp;"-"&amp;TEXT(MONTH(A591),"00"))</f>
        <v/>
      </c>
    </row>
    <row r="592">
      <c r="A592" s="2" t="n"/>
      <c r="B592" s="2" t="n"/>
      <c r="C592" s="2" t="n"/>
      <c r="D592" s="8">
        <f>IF(B592="","",IFERROR(INDEX(Товары!$F$2:$F$51,MATCH(B592,Товары!$A$2:$A$51,0)),""))</f>
        <v/>
      </c>
      <c r="E592" s="8">
        <f>IF(OR(B592="",D592=""),"",C592*D592)</f>
        <v/>
      </c>
      <c r="F592" s="8">
        <f>IF(B592="","",IFERROR(C592*INDEX(Товары!$J$2:$J$51,MATCH(B592,Товары!$A$2:$A$51,0)),""))</f>
        <v/>
      </c>
      <c r="G592" s="2">
        <f>IF(A592="","",YEAR(A592)&amp;"-"&amp;TEXT(MONTH(A592),"00"))</f>
        <v/>
      </c>
    </row>
    <row r="593">
      <c r="A593" s="2" t="n"/>
      <c r="B593" s="2" t="n"/>
      <c r="C593" s="2" t="n"/>
      <c r="D593" s="8">
        <f>IF(B593="","",IFERROR(INDEX(Товары!$F$2:$F$51,MATCH(B593,Товары!$A$2:$A$51,0)),""))</f>
        <v/>
      </c>
      <c r="E593" s="8">
        <f>IF(OR(B593="",D593=""),"",C593*D593)</f>
        <v/>
      </c>
      <c r="F593" s="8">
        <f>IF(B593="","",IFERROR(C593*INDEX(Товары!$J$2:$J$51,MATCH(B593,Товары!$A$2:$A$51,0)),""))</f>
        <v/>
      </c>
      <c r="G593" s="2">
        <f>IF(A593="","",YEAR(A593)&amp;"-"&amp;TEXT(MONTH(A593),"00"))</f>
        <v/>
      </c>
    </row>
    <row r="594">
      <c r="A594" s="2" t="n"/>
      <c r="B594" s="2" t="n"/>
      <c r="C594" s="2" t="n"/>
      <c r="D594" s="8">
        <f>IF(B594="","",IFERROR(INDEX(Товары!$F$2:$F$51,MATCH(B594,Товары!$A$2:$A$51,0)),""))</f>
        <v/>
      </c>
      <c r="E594" s="8">
        <f>IF(OR(B594="",D594=""),"",C594*D594)</f>
        <v/>
      </c>
      <c r="F594" s="8">
        <f>IF(B594="","",IFERROR(C594*INDEX(Товары!$J$2:$J$51,MATCH(B594,Товары!$A$2:$A$51,0)),""))</f>
        <v/>
      </c>
      <c r="G594" s="2">
        <f>IF(A594="","",YEAR(A594)&amp;"-"&amp;TEXT(MONTH(A594),"00"))</f>
        <v/>
      </c>
    </row>
    <row r="595">
      <c r="A595" s="2" t="n"/>
      <c r="B595" s="2" t="n"/>
      <c r="C595" s="2" t="n"/>
      <c r="D595" s="8">
        <f>IF(B595="","",IFERROR(INDEX(Товары!$F$2:$F$51,MATCH(B595,Товары!$A$2:$A$51,0)),""))</f>
        <v/>
      </c>
      <c r="E595" s="8">
        <f>IF(OR(B595="",D595=""),"",C595*D595)</f>
        <v/>
      </c>
      <c r="F595" s="8">
        <f>IF(B595="","",IFERROR(C595*INDEX(Товары!$J$2:$J$51,MATCH(B595,Товары!$A$2:$A$51,0)),""))</f>
        <v/>
      </c>
      <c r="G595" s="2">
        <f>IF(A595="","",YEAR(A595)&amp;"-"&amp;TEXT(MONTH(A595),"00"))</f>
        <v/>
      </c>
    </row>
    <row r="596">
      <c r="A596" s="2" t="n"/>
      <c r="B596" s="2" t="n"/>
      <c r="C596" s="2" t="n"/>
      <c r="D596" s="8">
        <f>IF(B596="","",IFERROR(INDEX(Товары!$F$2:$F$51,MATCH(B596,Товары!$A$2:$A$51,0)),""))</f>
        <v/>
      </c>
      <c r="E596" s="8">
        <f>IF(OR(B596="",D596=""),"",C596*D596)</f>
        <v/>
      </c>
      <c r="F596" s="8">
        <f>IF(B596="","",IFERROR(C596*INDEX(Товары!$J$2:$J$51,MATCH(B596,Товары!$A$2:$A$51,0)),""))</f>
        <v/>
      </c>
      <c r="G596" s="2">
        <f>IF(A596="","",YEAR(A596)&amp;"-"&amp;TEXT(MONTH(A596),"00"))</f>
        <v/>
      </c>
    </row>
    <row r="597">
      <c r="A597" s="2" t="n"/>
      <c r="B597" s="2" t="n"/>
      <c r="C597" s="2" t="n"/>
      <c r="D597" s="8">
        <f>IF(B597="","",IFERROR(INDEX(Товары!$F$2:$F$51,MATCH(B597,Товары!$A$2:$A$51,0)),""))</f>
        <v/>
      </c>
      <c r="E597" s="8">
        <f>IF(OR(B597="",D597=""),"",C597*D597)</f>
        <v/>
      </c>
      <c r="F597" s="8">
        <f>IF(B597="","",IFERROR(C597*INDEX(Товары!$J$2:$J$51,MATCH(B597,Товары!$A$2:$A$51,0)),""))</f>
        <v/>
      </c>
      <c r="G597" s="2">
        <f>IF(A597="","",YEAR(A597)&amp;"-"&amp;TEXT(MONTH(A597),"00"))</f>
        <v/>
      </c>
    </row>
    <row r="598">
      <c r="A598" s="2" t="n"/>
      <c r="B598" s="2" t="n"/>
      <c r="C598" s="2" t="n"/>
      <c r="D598" s="8">
        <f>IF(B598="","",IFERROR(INDEX(Товары!$F$2:$F$51,MATCH(B598,Товары!$A$2:$A$51,0)),""))</f>
        <v/>
      </c>
      <c r="E598" s="8">
        <f>IF(OR(B598="",D598=""),"",C598*D598)</f>
        <v/>
      </c>
      <c r="F598" s="8">
        <f>IF(B598="","",IFERROR(C598*INDEX(Товары!$J$2:$J$51,MATCH(B598,Товары!$A$2:$A$51,0)),""))</f>
        <v/>
      </c>
      <c r="G598" s="2">
        <f>IF(A598="","",YEAR(A598)&amp;"-"&amp;TEXT(MONTH(A598),"00"))</f>
        <v/>
      </c>
    </row>
    <row r="599">
      <c r="A599" s="2" t="n"/>
      <c r="B599" s="2" t="n"/>
      <c r="C599" s="2" t="n"/>
      <c r="D599" s="8">
        <f>IF(B599="","",IFERROR(INDEX(Товары!$F$2:$F$51,MATCH(B599,Товары!$A$2:$A$51,0)),""))</f>
        <v/>
      </c>
      <c r="E599" s="8">
        <f>IF(OR(B599="",D599=""),"",C599*D599)</f>
        <v/>
      </c>
      <c r="F599" s="8">
        <f>IF(B599="","",IFERROR(C599*INDEX(Товары!$J$2:$J$51,MATCH(B599,Товары!$A$2:$A$51,0)),""))</f>
        <v/>
      </c>
      <c r="G599" s="2">
        <f>IF(A599="","",YEAR(A599)&amp;"-"&amp;TEXT(MONTH(A599),"00"))</f>
        <v/>
      </c>
    </row>
    <row r="600">
      <c r="A600" s="2" t="n"/>
      <c r="B600" s="2" t="n"/>
      <c r="C600" s="2" t="n"/>
      <c r="D600" s="8">
        <f>IF(B600="","",IFERROR(INDEX(Товары!$F$2:$F$51,MATCH(B600,Товары!$A$2:$A$51,0)),""))</f>
        <v/>
      </c>
      <c r="E600" s="8">
        <f>IF(OR(B600="",D600=""),"",C600*D600)</f>
        <v/>
      </c>
      <c r="F600" s="8">
        <f>IF(B600="","",IFERROR(C600*INDEX(Товары!$J$2:$J$51,MATCH(B600,Товары!$A$2:$A$51,0)),""))</f>
        <v/>
      </c>
      <c r="G600" s="2">
        <f>IF(A600="","",YEAR(A600)&amp;"-"&amp;TEXT(MONTH(A600),"00"))</f>
        <v/>
      </c>
    </row>
    <row r="601">
      <c r="A601" s="2" t="n"/>
      <c r="B601" s="2" t="n"/>
      <c r="C601" s="2" t="n"/>
      <c r="D601" s="8">
        <f>IF(B601="","",IFERROR(INDEX(Товары!$F$2:$F$51,MATCH(B601,Товары!$A$2:$A$51,0)),""))</f>
        <v/>
      </c>
      <c r="E601" s="8">
        <f>IF(OR(B601="",D601=""),"",C601*D601)</f>
        <v/>
      </c>
      <c r="F601" s="8">
        <f>IF(B601="","",IFERROR(C601*INDEX(Товары!$J$2:$J$51,MATCH(B601,Товары!$A$2:$A$51,0)),""))</f>
        <v/>
      </c>
      <c r="G601" s="2">
        <f>IF(A601="","",YEAR(A601)&amp;"-"&amp;TEXT(MONTH(A601),"00"))</f>
        <v/>
      </c>
    </row>
    <row r="602">
      <c r="A602" s="2" t="n"/>
      <c r="B602" s="2" t="n"/>
      <c r="C602" s="2" t="n"/>
      <c r="D602" s="8">
        <f>IF(B602="","",IFERROR(INDEX(Товары!$F$2:$F$51,MATCH(B602,Товары!$A$2:$A$51,0)),""))</f>
        <v/>
      </c>
      <c r="E602" s="8">
        <f>IF(OR(B602="",D602=""),"",C602*D602)</f>
        <v/>
      </c>
      <c r="F602" s="8">
        <f>IF(B602="","",IFERROR(C602*INDEX(Товары!$J$2:$J$51,MATCH(B602,Товары!$A$2:$A$51,0)),""))</f>
        <v/>
      </c>
      <c r="G602" s="2">
        <f>IF(A602="","",YEAR(A602)&amp;"-"&amp;TEXT(MONTH(A602),"00"))</f>
        <v/>
      </c>
    </row>
    <row r="603">
      <c r="A603" s="2" t="n"/>
      <c r="B603" s="2" t="n"/>
      <c r="C603" s="2" t="n"/>
      <c r="D603" s="8">
        <f>IF(B603="","",IFERROR(INDEX(Товары!$F$2:$F$51,MATCH(B603,Товары!$A$2:$A$51,0)),""))</f>
        <v/>
      </c>
      <c r="E603" s="8">
        <f>IF(OR(B603="",D603=""),"",C603*D603)</f>
        <v/>
      </c>
      <c r="F603" s="8">
        <f>IF(B603="","",IFERROR(C603*INDEX(Товары!$J$2:$J$51,MATCH(B603,Товары!$A$2:$A$51,0)),""))</f>
        <v/>
      </c>
      <c r="G603" s="2">
        <f>IF(A603="","",YEAR(A603)&amp;"-"&amp;TEXT(MONTH(A603),"00"))</f>
        <v/>
      </c>
    </row>
    <row r="604">
      <c r="A604" s="2" t="n"/>
      <c r="B604" s="2" t="n"/>
      <c r="C604" s="2" t="n"/>
      <c r="D604" s="8">
        <f>IF(B604="","",IFERROR(INDEX(Товары!$F$2:$F$51,MATCH(B604,Товары!$A$2:$A$51,0)),""))</f>
        <v/>
      </c>
      <c r="E604" s="8">
        <f>IF(OR(B604="",D604=""),"",C604*D604)</f>
        <v/>
      </c>
      <c r="F604" s="8">
        <f>IF(B604="","",IFERROR(C604*INDEX(Товары!$J$2:$J$51,MATCH(B604,Товары!$A$2:$A$51,0)),""))</f>
        <v/>
      </c>
      <c r="G604" s="2">
        <f>IF(A604="","",YEAR(A604)&amp;"-"&amp;TEXT(MONTH(A604),"00"))</f>
        <v/>
      </c>
    </row>
    <row r="605">
      <c r="A605" s="2" t="n"/>
      <c r="B605" s="2" t="n"/>
      <c r="C605" s="2" t="n"/>
      <c r="D605" s="8">
        <f>IF(B605="","",IFERROR(INDEX(Товары!$F$2:$F$51,MATCH(B605,Товары!$A$2:$A$51,0)),""))</f>
        <v/>
      </c>
      <c r="E605" s="8">
        <f>IF(OR(B605="",D605=""),"",C605*D605)</f>
        <v/>
      </c>
      <c r="F605" s="8">
        <f>IF(B605="","",IFERROR(C605*INDEX(Товары!$J$2:$J$51,MATCH(B605,Товары!$A$2:$A$51,0)),""))</f>
        <v/>
      </c>
      <c r="G605" s="2">
        <f>IF(A605="","",YEAR(A605)&amp;"-"&amp;TEXT(MONTH(A605),"00"))</f>
        <v/>
      </c>
    </row>
    <row r="606">
      <c r="A606" s="2" t="n"/>
      <c r="B606" s="2" t="n"/>
      <c r="C606" s="2" t="n"/>
      <c r="D606" s="8">
        <f>IF(B606="","",IFERROR(INDEX(Товары!$F$2:$F$51,MATCH(B606,Товары!$A$2:$A$51,0)),""))</f>
        <v/>
      </c>
      <c r="E606" s="8">
        <f>IF(OR(B606="",D606=""),"",C606*D606)</f>
        <v/>
      </c>
      <c r="F606" s="8">
        <f>IF(B606="","",IFERROR(C606*INDEX(Товары!$J$2:$J$51,MATCH(B606,Товары!$A$2:$A$51,0)),""))</f>
        <v/>
      </c>
      <c r="G606" s="2">
        <f>IF(A606="","",YEAR(A606)&amp;"-"&amp;TEXT(MONTH(A606),"00"))</f>
        <v/>
      </c>
    </row>
    <row r="607">
      <c r="A607" s="2" t="n"/>
      <c r="B607" s="2" t="n"/>
      <c r="C607" s="2" t="n"/>
      <c r="D607" s="8">
        <f>IF(B607="","",IFERROR(INDEX(Товары!$F$2:$F$51,MATCH(B607,Товары!$A$2:$A$51,0)),""))</f>
        <v/>
      </c>
      <c r="E607" s="8">
        <f>IF(OR(B607="",D607=""),"",C607*D607)</f>
        <v/>
      </c>
      <c r="F607" s="8">
        <f>IF(B607="","",IFERROR(C607*INDEX(Товары!$J$2:$J$51,MATCH(B607,Товары!$A$2:$A$51,0)),""))</f>
        <v/>
      </c>
      <c r="G607" s="2">
        <f>IF(A607="","",YEAR(A607)&amp;"-"&amp;TEXT(MONTH(A607),"00"))</f>
        <v/>
      </c>
    </row>
    <row r="608">
      <c r="A608" s="2" t="n"/>
      <c r="B608" s="2" t="n"/>
      <c r="C608" s="2" t="n"/>
      <c r="D608" s="8">
        <f>IF(B608="","",IFERROR(INDEX(Товары!$F$2:$F$51,MATCH(B608,Товары!$A$2:$A$51,0)),""))</f>
        <v/>
      </c>
      <c r="E608" s="8">
        <f>IF(OR(B608="",D608=""),"",C608*D608)</f>
        <v/>
      </c>
      <c r="F608" s="8">
        <f>IF(B608="","",IFERROR(C608*INDEX(Товары!$J$2:$J$51,MATCH(B608,Товары!$A$2:$A$51,0)),""))</f>
        <v/>
      </c>
      <c r="G608" s="2">
        <f>IF(A608="","",YEAR(A608)&amp;"-"&amp;TEXT(MONTH(A608),"00"))</f>
        <v/>
      </c>
    </row>
    <row r="609">
      <c r="A609" s="2" t="n"/>
      <c r="B609" s="2" t="n"/>
      <c r="C609" s="2" t="n"/>
      <c r="D609" s="8">
        <f>IF(B609="","",IFERROR(INDEX(Товары!$F$2:$F$51,MATCH(B609,Товары!$A$2:$A$51,0)),""))</f>
        <v/>
      </c>
      <c r="E609" s="8">
        <f>IF(OR(B609="",D609=""),"",C609*D609)</f>
        <v/>
      </c>
      <c r="F609" s="8">
        <f>IF(B609="","",IFERROR(C609*INDEX(Товары!$J$2:$J$51,MATCH(B609,Товары!$A$2:$A$51,0)),""))</f>
        <v/>
      </c>
      <c r="G609" s="2">
        <f>IF(A609="","",YEAR(A609)&amp;"-"&amp;TEXT(MONTH(A609),"00"))</f>
        <v/>
      </c>
    </row>
    <row r="610">
      <c r="A610" s="2" t="n"/>
      <c r="B610" s="2" t="n"/>
      <c r="C610" s="2" t="n"/>
      <c r="D610" s="8">
        <f>IF(B610="","",IFERROR(INDEX(Товары!$F$2:$F$51,MATCH(B610,Товары!$A$2:$A$51,0)),""))</f>
        <v/>
      </c>
      <c r="E610" s="8">
        <f>IF(OR(B610="",D610=""),"",C610*D610)</f>
        <v/>
      </c>
      <c r="F610" s="8">
        <f>IF(B610="","",IFERROR(C610*INDEX(Товары!$J$2:$J$51,MATCH(B610,Товары!$A$2:$A$51,0)),""))</f>
        <v/>
      </c>
      <c r="G610" s="2">
        <f>IF(A610="","",YEAR(A610)&amp;"-"&amp;TEXT(MONTH(A610),"00"))</f>
        <v/>
      </c>
    </row>
    <row r="611">
      <c r="A611" s="2" t="n"/>
      <c r="B611" s="2" t="n"/>
      <c r="C611" s="2" t="n"/>
      <c r="D611" s="8">
        <f>IF(B611="","",IFERROR(INDEX(Товары!$F$2:$F$51,MATCH(B611,Товары!$A$2:$A$51,0)),""))</f>
        <v/>
      </c>
      <c r="E611" s="8">
        <f>IF(OR(B611="",D611=""),"",C611*D611)</f>
        <v/>
      </c>
      <c r="F611" s="8">
        <f>IF(B611="","",IFERROR(C611*INDEX(Товары!$J$2:$J$51,MATCH(B611,Товары!$A$2:$A$51,0)),""))</f>
        <v/>
      </c>
      <c r="G611" s="2">
        <f>IF(A611="","",YEAR(A611)&amp;"-"&amp;TEXT(MONTH(A611),"00"))</f>
        <v/>
      </c>
    </row>
    <row r="612">
      <c r="A612" s="2" t="n"/>
      <c r="B612" s="2" t="n"/>
      <c r="C612" s="2" t="n"/>
      <c r="D612" s="8">
        <f>IF(B612="","",IFERROR(INDEX(Товары!$F$2:$F$51,MATCH(B612,Товары!$A$2:$A$51,0)),""))</f>
        <v/>
      </c>
      <c r="E612" s="8">
        <f>IF(OR(B612="",D612=""),"",C612*D612)</f>
        <v/>
      </c>
      <c r="F612" s="8">
        <f>IF(B612="","",IFERROR(C612*INDEX(Товары!$J$2:$J$51,MATCH(B612,Товары!$A$2:$A$51,0)),""))</f>
        <v/>
      </c>
      <c r="G612" s="2">
        <f>IF(A612="","",YEAR(A612)&amp;"-"&amp;TEXT(MONTH(A612),"00"))</f>
        <v/>
      </c>
    </row>
    <row r="613">
      <c r="A613" s="2" t="n"/>
      <c r="B613" s="2" t="n"/>
      <c r="C613" s="2" t="n"/>
      <c r="D613" s="8">
        <f>IF(B613="","",IFERROR(INDEX(Товары!$F$2:$F$51,MATCH(B613,Товары!$A$2:$A$51,0)),""))</f>
        <v/>
      </c>
      <c r="E613" s="8">
        <f>IF(OR(B613="",D613=""),"",C613*D613)</f>
        <v/>
      </c>
      <c r="F613" s="8">
        <f>IF(B613="","",IFERROR(C613*INDEX(Товары!$J$2:$J$51,MATCH(B613,Товары!$A$2:$A$51,0)),""))</f>
        <v/>
      </c>
      <c r="G613" s="2">
        <f>IF(A613="","",YEAR(A613)&amp;"-"&amp;TEXT(MONTH(A613),"00"))</f>
        <v/>
      </c>
    </row>
    <row r="614">
      <c r="A614" s="2" t="n"/>
      <c r="B614" s="2" t="n"/>
      <c r="C614" s="2" t="n"/>
      <c r="D614" s="8">
        <f>IF(B614="","",IFERROR(INDEX(Товары!$F$2:$F$51,MATCH(B614,Товары!$A$2:$A$51,0)),""))</f>
        <v/>
      </c>
      <c r="E614" s="8">
        <f>IF(OR(B614="",D614=""),"",C614*D614)</f>
        <v/>
      </c>
      <c r="F614" s="8">
        <f>IF(B614="","",IFERROR(C614*INDEX(Товары!$J$2:$J$51,MATCH(B614,Товары!$A$2:$A$51,0)),""))</f>
        <v/>
      </c>
      <c r="G614" s="2">
        <f>IF(A614="","",YEAR(A614)&amp;"-"&amp;TEXT(MONTH(A614),"00"))</f>
        <v/>
      </c>
    </row>
    <row r="615">
      <c r="A615" s="2" t="n"/>
      <c r="B615" s="2" t="n"/>
      <c r="C615" s="2" t="n"/>
      <c r="D615" s="8">
        <f>IF(B615="","",IFERROR(INDEX(Товары!$F$2:$F$51,MATCH(B615,Товары!$A$2:$A$51,0)),""))</f>
        <v/>
      </c>
      <c r="E615" s="8">
        <f>IF(OR(B615="",D615=""),"",C615*D615)</f>
        <v/>
      </c>
      <c r="F615" s="8">
        <f>IF(B615="","",IFERROR(C615*INDEX(Товары!$J$2:$J$51,MATCH(B615,Товары!$A$2:$A$51,0)),""))</f>
        <v/>
      </c>
      <c r="G615" s="2">
        <f>IF(A615="","",YEAR(A615)&amp;"-"&amp;TEXT(MONTH(A615),"00"))</f>
        <v/>
      </c>
    </row>
    <row r="616">
      <c r="A616" s="2" t="n"/>
      <c r="B616" s="2" t="n"/>
      <c r="C616" s="2" t="n"/>
      <c r="D616" s="8">
        <f>IF(B616="","",IFERROR(INDEX(Товары!$F$2:$F$51,MATCH(B616,Товары!$A$2:$A$51,0)),""))</f>
        <v/>
      </c>
      <c r="E616" s="8">
        <f>IF(OR(B616="",D616=""),"",C616*D616)</f>
        <v/>
      </c>
      <c r="F616" s="8">
        <f>IF(B616="","",IFERROR(C616*INDEX(Товары!$J$2:$J$51,MATCH(B616,Товары!$A$2:$A$51,0)),""))</f>
        <v/>
      </c>
      <c r="G616" s="2">
        <f>IF(A616="","",YEAR(A616)&amp;"-"&amp;TEXT(MONTH(A616),"00"))</f>
        <v/>
      </c>
    </row>
    <row r="617">
      <c r="A617" s="2" t="n"/>
      <c r="B617" s="2" t="n"/>
      <c r="C617" s="2" t="n"/>
      <c r="D617" s="8">
        <f>IF(B617="","",IFERROR(INDEX(Товары!$F$2:$F$51,MATCH(B617,Товары!$A$2:$A$51,0)),""))</f>
        <v/>
      </c>
      <c r="E617" s="8">
        <f>IF(OR(B617="",D617=""),"",C617*D617)</f>
        <v/>
      </c>
      <c r="F617" s="8">
        <f>IF(B617="","",IFERROR(C617*INDEX(Товары!$J$2:$J$51,MATCH(B617,Товары!$A$2:$A$51,0)),""))</f>
        <v/>
      </c>
      <c r="G617" s="2">
        <f>IF(A617="","",YEAR(A617)&amp;"-"&amp;TEXT(MONTH(A617),"00"))</f>
        <v/>
      </c>
    </row>
    <row r="618">
      <c r="A618" s="2" t="n"/>
      <c r="B618" s="2" t="n"/>
      <c r="C618" s="2" t="n"/>
      <c r="D618" s="8">
        <f>IF(B618="","",IFERROR(INDEX(Товары!$F$2:$F$51,MATCH(B618,Товары!$A$2:$A$51,0)),""))</f>
        <v/>
      </c>
      <c r="E618" s="8">
        <f>IF(OR(B618="",D618=""),"",C618*D618)</f>
        <v/>
      </c>
      <c r="F618" s="8">
        <f>IF(B618="","",IFERROR(C618*INDEX(Товары!$J$2:$J$51,MATCH(B618,Товары!$A$2:$A$51,0)),""))</f>
        <v/>
      </c>
      <c r="G618" s="2">
        <f>IF(A618="","",YEAR(A618)&amp;"-"&amp;TEXT(MONTH(A618),"00"))</f>
        <v/>
      </c>
    </row>
    <row r="619">
      <c r="A619" s="2" t="n"/>
      <c r="B619" s="2" t="n"/>
      <c r="C619" s="2" t="n"/>
      <c r="D619" s="8">
        <f>IF(B619="","",IFERROR(INDEX(Товары!$F$2:$F$51,MATCH(B619,Товары!$A$2:$A$51,0)),""))</f>
        <v/>
      </c>
      <c r="E619" s="8">
        <f>IF(OR(B619="",D619=""),"",C619*D619)</f>
        <v/>
      </c>
      <c r="F619" s="8">
        <f>IF(B619="","",IFERROR(C619*INDEX(Товары!$J$2:$J$51,MATCH(B619,Товары!$A$2:$A$51,0)),""))</f>
        <v/>
      </c>
      <c r="G619" s="2">
        <f>IF(A619="","",YEAR(A619)&amp;"-"&amp;TEXT(MONTH(A619),"00"))</f>
        <v/>
      </c>
    </row>
    <row r="620">
      <c r="A620" s="2" t="n"/>
      <c r="B620" s="2" t="n"/>
      <c r="C620" s="2" t="n"/>
      <c r="D620" s="8">
        <f>IF(B620="","",IFERROR(INDEX(Товары!$F$2:$F$51,MATCH(B620,Товары!$A$2:$A$51,0)),""))</f>
        <v/>
      </c>
      <c r="E620" s="8">
        <f>IF(OR(B620="",D620=""),"",C620*D620)</f>
        <v/>
      </c>
      <c r="F620" s="8">
        <f>IF(B620="","",IFERROR(C620*INDEX(Товары!$J$2:$J$51,MATCH(B620,Товары!$A$2:$A$51,0)),""))</f>
        <v/>
      </c>
      <c r="G620" s="2">
        <f>IF(A620="","",YEAR(A620)&amp;"-"&amp;TEXT(MONTH(A620),"00"))</f>
        <v/>
      </c>
    </row>
    <row r="621">
      <c r="A621" s="2" t="n"/>
      <c r="B621" s="2" t="n"/>
      <c r="C621" s="2" t="n"/>
      <c r="D621" s="8">
        <f>IF(B621="","",IFERROR(INDEX(Товары!$F$2:$F$51,MATCH(B621,Товары!$A$2:$A$51,0)),""))</f>
        <v/>
      </c>
      <c r="E621" s="8">
        <f>IF(OR(B621="",D621=""),"",C621*D621)</f>
        <v/>
      </c>
      <c r="F621" s="8">
        <f>IF(B621="","",IFERROR(C621*INDEX(Товары!$J$2:$J$51,MATCH(B621,Товары!$A$2:$A$51,0)),""))</f>
        <v/>
      </c>
      <c r="G621" s="2">
        <f>IF(A621="","",YEAR(A621)&amp;"-"&amp;TEXT(MONTH(A621),"00"))</f>
        <v/>
      </c>
    </row>
    <row r="622">
      <c r="A622" s="2" t="n"/>
      <c r="B622" s="2" t="n"/>
      <c r="C622" s="2" t="n"/>
      <c r="D622" s="8">
        <f>IF(B622="","",IFERROR(INDEX(Товары!$F$2:$F$51,MATCH(B622,Товары!$A$2:$A$51,0)),""))</f>
        <v/>
      </c>
      <c r="E622" s="8">
        <f>IF(OR(B622="",D622=""),"",C622*D622)</f>
        <v/>
      </c>
      <c r="F622" s="8">
        <f>IF(B622="","",IFERROR(C622*INDEX(Товары!$J$2:$J$51,MATCH(B622,Товары!$A$2:$A$51,0)),""))</f>
        <v/>
      </c>
      <c r="G622" s="2">
        <f>IF(A622="","",YEAR(A622)&amp;"-"&amp;TEXT(MONTH(A622),"00"))</f>
        <v/>
      </c>
    </row>
    <row r="623">
      <c r="A623" s="2" t="n"/>
      <c r="B623" s="2" t="n"/>
      <c r="C623" s="2" t="n"/>
      <c r="D623" s="8">
        <f>IF(B623="","",IFERROR(INDEX(Товары!$F$2:$F$51,MATCH(B623,Товары!$A$2:$A$51,0)),""))</f>
        <v/>
      </c>
      <c r="E623" s="8">
        <f>IF(OR(B623="",D623=""),"",C623*D623)</f>
        <v/>
      </c>
      <c r="F623" s="8">
        <f>IF(B623="","",IFERROR(C623*INDEX(Товары!$J$2:$J$51,MATCH(B623,Товары!$A$2:$A$51,0)),""))</f>
        <v/>
      </c>
      <c r="G623" s="2">
        <f>IF(A623="","",YEAR(A623)&amp;"-"&amp;TEXT(MONTH(A623),"00"))</f>
        <v/>
      </c>
    </row>
    <row r="624">
      <c r="A624" s="2" t="n"/>
      <c r="B624" s="2" t="n"/>
      <c r="C624" s="2" t="n"/>
      <c r="D624" s="8">
        <f>IF(B624="","",IFERROR(INDEX(Товары!$F$2:$F$51,MATCH(B624,Товары!$A$2:$A$51,0)),""))</f>
        <v/>
      </c>
      <c r="E624" s="8">
        <f>IF(OR(B624="",D624=""),"",C624*D624)</f>
        <v/>
      </c>
      <c r="F624" s="8">
        <f>IF(B624="","",IFERROR(C624*INDEX(Товары!$J$2:$J$51,MATCH(B624,Товары!$A$2:$A$51,0)),""))</f>
        <v/>
      </c>
      <c r="G624" s="2">
        <f>IF(A624="","",YEAR(A624)&amp;"-"&amp;TEXT(MONTH(A624),"00"))</f>
        <v/>
      </c>
    </row>
    <row r="625">
      <c r="A625" s="2" t="n"/>
      <c r="B625" s="2" t="n"/>
      <c r="C625" s="2" t="n"/>
      <c r="D625" s="8">
        <f>IF(B625="","",IFERROR(INDEX(Товары!$F$2:$F$51,MATCH(B625,Товары!$A$2:$A$51,0)),""))</f>
        <v/>
      </c>
      <c r="E625" s="8">
        <f>IF(OR(B625="",D625=""),"",C625*D625)</f>
        <v/>
      </c>
      <c r="F625" s="8">
        <f>IF(B625="","",IFERROR(C625*INDEX(Товары!$J$2:$J$51,MATCH(B625,Товары!$A$2:$A$51,0)),""))</f>
        <v/>
      </c>
      <c r="G625" s="2">
        <f>IF(A625="","",YEAR(A625)&amp;"-"&amp;TEXT(MONTH(A625),"00"))</f>
        <v/>
      </c>
    </row>
    <row r="626">
      <c r="A626" s="2" t="n"/>
      <c r="B626" s="2" t="n"/>
      <c r="C626" s="2" t="n"/>
      <c r="D626" s="8">
        <f>IF(B626="","",IFERROR(INDEX(Товары!$F$2:$F$51,MATCH(B626,Товары!$A$2:$A$51,0)),""))</f>
        <v/>
      </c>
      <c r="E626" s="8">
        <f>IF(OR(B626="",D626=""),"",C626*D626)</f>
        <v/>
      </c>
      <c r="F626" s="8">
        <f>IF(B626="","",IFERROR(C626*INDEX(Товары!$J$2:$J$51,MATCH(B626,Товары!$A$2:$A$51,0)),""))</f>
        <v/>
      </c>
      <c r="G626" s="2">
        <f>IF(A626="","",YEAR(A626)&amp;"-"&amp;TEXT(MONTH(A626),"00"))</f>
        <v/>
      </c>
    </row>
    <row r="627">
      <c r="A627" s="2" t="n"/>
      <c r="B627" s="2" t="n"/>
      <c r="C627" s="2" t="n"/>
      <c r="D627" s="8">
        <f>IF(B627="","",IFERROR(INDEX(Товары!$F$2:$F$51,MATCH(B627,Товары!$A$2:$A$51,0)),""))</f>
        <v/>
      </c>
      <c r="E627" s="8">
        <f>IF(OR(B627="",D627=""),"",C627*D627)</f>
        <v/>
      </c>
      <c r="F627" s="8">
        <f>IF(B627="","",IFERROR(C627*INDEX(Товары!$J$2:$J$51,MATCH(B627,Товары!$A$2:$A$51,0)),""))</f>
        <v/>
      </c>
      <c r="G627" s="2">
        <f>IF(A627="","",YEAR(A627)&amp;"-"&amp;TEXT(MONTH(A627),"00"))</f>
        <v/>
      </c>
    </row>
    <row r="628">
      <c r="A628" s="2" t="n"/>
      <c r="B628" s="2" t="n"/>
      <c r="C628" s="2" t="n"/>
      <c r="D628" s="8">
        <f>IF(B628="","",IFERROR(INDEX(Товары!$F$2:$F$51,MATCH(B628,Товары!$A$2:$A$51,0)),""))</f>
        <v/>
      </c>
      <c r="E628" s="8">
        <f>IF(OR(B628="",D628=""),"",C628*D628)</f>
        <v/>
      </c>
      <c r="F628" s="8">
        <f>IF(B628="","",IFERROR(C628*INDEX(Товары!$J$2:$J$51,MATCH(B628,Товары!$A$2:$A$51,0)),""))</f>
        <v/>
      </c>
      <c r="G628" s="2">
        <f>IF(A628="","",YEAR(A628)&amp;"-"&amp;TEXT(MONTH(A628),"00"))</f>
        <v/>
      </c>
    </row>
    <row r="629">
      <c r="A629" s="2" t="n"/>
      <c r="B629" s="2" t="n"/>
      <c r="C629" s="2" t="n"/>
      <c r="D629" s="8">
        <f>IF(B629="","",IFERROR(INDEX(Товары!$F$2:$F$51,MATCH(B629,Товары!$A$2:$A$51,0)),""))</f>
        <v/>
      </c>
      <c r="E629" s="8">
        <f>IF(OR(B629="",D629=""),"",C629*D629)</f>
        <v/>
      </c>
      <c r="F629" s="8">
        <f>IF(B629="","",IFERROR(C629*INDEX(Товары!$J$2:$J$51,MATCH(B629,Товары!$A$2:$A$51,0)),""))</f>
        <v/>
      </c>
      <c r="G629" s="2">
        <f>IF(A629="","",YEAR(A629)&amp;"-"&amp;TEXT(MONTH(A629),"00"))</f>
        <v/>
      </c>
    </row>
    <row r="630">
      <c r="A630" s="2" t="n"/>
      <c r="B630" s="2" t="n"/>
      <c r="C630" s="2" t="n"/>
      <c r="D630" s="8">
        <f>IF(B630="","",IFERROR(INDEX(Товары!$F$2:$F$51,MATCH(B630,Товары!$A$2:$A$51,0)),""))</f>
        <v/>
      </c>
      <c r="E630" s="8">
        <f>IF(OR(B630="",D630=""),"",C630*D630)</f>
        <v/>
      </c>
      <c r="F630" s="8">
        <f>IF(B630="","",IFERROR(C630*INDEX(Товары!$J$2:$J$51,MATCH(B630,Товары!$A$2:$A$51,0)),""))</f>
        <v/>
      </c>
      <c r="G630" s="2">
        <f>IF(A630="","",YEAR(A630)&amp;"-"&amp;TEXT(MONTH(A630),"00"))</f>
        <v/>
      </c>
    </row>
    <row r="631">
      <c r="A631" s="2" t="n"/>
      <c r="B631" s="2" t="n"/>
      <c r="C631" s="2" t="n"/>
      <c r="D631" s="8">
        <f>IF(B631="","",IFERROR(INDEX(Товары!$F$2:$F$51,MATCH(B631,Товары!$A$2:$A$51,0)),""))</f>
        <v/>
      </c>
      <c r="E631" s="8">
        <f>IF(OR(B631="",D631=""),"",C631*D631)</f>
        <v/>
      </c>
      <c r="F631" s="8">
        <f>IF(B631="","",IFERROR(C631*INDEX(Товары!$J$2:$J$51,MATCH(B631,Товары!$A$2:$A$51,0)),""))</f>
        <v/>
      </c>
      <c r="G631" s="2">
        <f>IF(A631="","",YEAR(A631)&amp;"-"&amp;TEXT(MONTH(A631),"00"))</f>
        <v/>
      </c>
    </row>
    <row r="632">
      <c r="A632" s="2" t="n"/>
      <c r="B632" s="2" t="n"/>
      <c r="C632" s="2" t="n"/>
      <c r="D632" s="8">
        <f>IF(B632="","",IFERROR(INDEX(Товары!$F$2:$F$51,MATCH(B632,Товары!$A$2:$A$51,0)),""))</f>
        <v/>
      </c>
      <c r="E632" s="8">
        <f>IF(OR(B632="",D632=""),"",C632*D632)</f>
        <v/>
      </c>
      <c r="F632" s="8">
        <f>IF(B632="","",IFERROR(C632*INDEX(Товары!$J$2:$J$51,MATCH(B632,Товары!$A$2:$A$51,0)),""))</f>
        <v/>
      </c>
      <c r="G632" s="2">
        <f>IF(A632="","",YEAR(A632)&amp;"-"&amp;TEXT(MONTH(A632),"00"))</f>
        <v/>
      </c>
    </row>
    <row r="633">
      <c r="A633" s="2" t="n"/>
      <c r="B633" s="2" t="n"/>
      <c r="C633" s="2" t="n"/>
      <c r="D633" s="8">
        <f>IF(B633="","",IFERROR(INDEX(Товары!$F$2:$F$51,MATCH(B633,Товары!$A$2:$A$51,0)),""))</f>
        <v/>
      </c>
      <c r="E633" s="8">
        <f>IF(OR(B633="",D633=""),"",C633*D633)</f>
        <v/>
      </c>
      <c r="F633" s="8">
        <f>IF(B633="","",IFERROR(C633*INDEX(Товары!$J$2:$J$51,MATCH(B633,Товары!$A$2:$A$51,0)),""))</f>
        <v/>
      </c>
      <c r="G633" s="2">
        <f>IF(A633="","",YEAR(A633)&amp;"-"&amp;TEXT(MONTH(A633),"00"))</f>
        <v/>
      </c>
    </row>
    <row r="634">
      <c r="A634" s="2" t="n"/>
      <c r="B634" s="2" t="n"/>
      <c r="C634" s="2" t="n"/>
      <c r="D634" s="8">
        <f>IF(B634="","",IFERROR(INDEX(Товары!$F$2:$F$51,MATCH(B634,Товары!$A$2:$A$51,0)),""))</f>
        <v/>
      </c>
      <c r="E634" s="8">
        <f>IF(OR(B634="",D634=""),"",C634*D634)</f>
        <v/>
      </c>
      <c r="F634" s="8">
        <f>IF(B634="","",IFERROR(C634*INDEX(Товары!$J$2:$J$51,MATCH(B634,Товары!$A$2:$A$51,0)),""))</f>
        <v/>
      </c>
      <c r="G634" s="2">
        <f>IF(A634="","",YEAR(A634)&amp;"-"&amp;TEXT(MONTH(A634),"00"))</f>
        <v/>
      </c>
    </row>
    <row r="635">
      <c r="A635" s="2" t="n"/>
      <c r="B635" s="2" t="n"/>
      <c r="C635" s="2" t="n"/>
      <c r="D635" s="8">
        <f>IF(B635="","",IFERROR(INDEX(Товары!$F$2:$F$51,MATCH(B635,Товары!$A$2:$A$51,0)),""))</f>
        <v/>
      </c>
      <c r="E635" s="8">
        <f>IF(OR(B635="",D635=""),"",C635*D635)</f>
        <v/>
      </c>
      <c r="F635" s="8">
        <f>IF(B635="","",IFERROR(C635*INDEX(Товары!$J$2:$J$51,MATCH(B635,Товары!$A$2:$A$51,0)),""))</f>
        <v/>
      </c>
      <c r="G635" s="2">
        <f>IF(A635="","",YEAR(A635)&amp;"-"&amp;TEXT(MONTH(A635),"00"))</f>
        <v/>
      </c>
    </row>
    <row r="636">
      <c r="A636" s="2" t="n"/>
      <c r="B636" s="2" t="n"/>
      <c r="C636" s="2" t="n"/>
      <c r="D636" s="8">
        <f>IF(B636="","",IFERROR(INDEX(Товары!$F$2:$F$51,MATCH(B636,Товары!$A$2:$A$51,0)),""))</f>
        <v/>
      </c>
      <c r="E636" s="8">
        <f>IF(OR(B636="",D636=""),"",C636*D636)</f>
        <v/>
      </c>
      <c r="F636" s="8">
        <f>IF(B636="","",IFERROR(C636*INDEX(Товары!$J$2:$J$51,MATCH(B636,Товары!$A$2:$A$51,0)),""))</f>
        <v/>
      </c>
      <c r="G636" s="2">
        <f>IF(A636="","",YEAR(A636)&amp;"-"&amp;TEXT(MONTH(A636),"00"))</f>
        <v/>
      </c>
    </row>
    <row r="637">
      <c r="A637" s="2" t="n"/>
      <c r="B637" s="2" t="n"/>
      <c r="C637" s="2" t="n"/>
      <c r="D637" s="8">
        <f>IF(B637="","",IFERROR(INDEX(Товары!$F$2:$F$51,MATCH(B637,Товары!$A$2:$A$51,0)),""))</f>
        <v/>
      </c>
      <c r="E637" s="8">
        <f>IF(OR(B637="",D637=""),"",C637*D637)</f>
        <v/>
      </c>
      <c r="F637" s="8">
        <f>IF(B637="","",IFERROR(C637*INDEX(Товары!$J$2:$J$51,MATCH(B637,Товары!$A$2:$A$51,0)),""))</f>
        <v/>
      </c>
      <c r="G637" s="2">
        <f>IF(A637="","",YEAR(A637)&amp;"-"&amp;TEXT(MONTH(A637),"00"))</f>
        <v/>
      </c>
    </row>
    <row r="638">
      <c r="A638" s="2" t="n"/>
      <c r="B638" s="2" t="n"/>
      <c r="C638" s="2" t="n"/>
      <c r="D638" s="8">
        <f>IF(B638="","",IFERROR(INDEX(Товары!$F$2:$F$51,MATCH(B638,Товары!$A$2:$A$51,0)),""))</f>
        <v/>
      </c>
      <c r="E638" s="8">
        <f>IF(OR(B638="",D638=""),"",C638*D638)</f>
        <v/>
      </c>
      <c r="F638" s="8">
        <f>IF(B638="","",IFERROR(C638*INDEX(Товары!$J$2:$J$51,MATCH(B638,Товары!$A$2:$A$51,0)),""))</f>
        <v/>
      </c>
      <c r="G638" s="2">
        <f>IF(A638="","",YEAR(A638)&amp;"-"&amp;TEXT(MONTH(A638),"00"))</f>
        <v/>
      </c>
    </row>
    <row r="639">
      <c r="A639" s="2" t="n"/>
      <c r="B639" s="2" t="n"/>
      <c r="C639" s="2" t="n"/>
      <c r="D639" s="8">
        <f>IF(B639="","",IFERROR(INDEX(Товары!$F$2:$F$51,MATCH(B639,Товары!$A$2:$A$51,0)),""))</f>
        <v/>
      </c>
      <c r="E639" s="8">
        <f>IF(OR(B639="",D639=""),"",C639*D639)</f>
        <v/>
      </c>
      <c r="F639" s="8">
        <f>IF(B639="","",IFERROR(C639*INDEX(Товары!$J$2:$J$51,MATCH(B639,Товары!$A$2:$A$51,0)),""))</f>
        <v/>
      </c>
      <c r="G639" s="2">
        <f>IF(A639="","",YEAR(A639)&amp;"-"&amp;TEXT(MONTH(A639),"00"))</f>
        <v/>
      </c>
    </row>
    <row r="640">
      <c r="A640" s="2" t="n"/>
      <c r="B640" s="2" t="n"/>
      <c r="C640" s="2" t="n"/>
      <c r="D640" s="8">
        <f>IF(B640="","",IFERROR(INDEX(Товары!$F$2:$F$51,MATCH(B640,Товары!$A$2:$A$51,0)),""))</f>
        <v/>
      </c>
      <c r="E640" s="8">
        <f>IF(OR(B640="",D640=""),"",C640*D640)</f>
        <v/>
      </c>
      <c r="F640" s="8">
        <f>IF(B640="","",IFERROR(C640*INDEX(Товары!$J$2:$J$51,MATCH(B640,Товары!$A$2:$A$51,0)),""))</f>
        <v/>
      </c>
      <c r="G640" s="2">
        <f>IF(A640="","",YEAR(A640)&amp;"-"&amp;TEXT(MONTH(A640),"00"))</f>
        <v/>
      </c>
    </row>
    <row r="641">
      <c r="A641" s="2" t="n"/>
      <c r="B641" s="2" t="n"/>
      <c r="C641" s="2" t="n"/>
      <c r="D641" s="8">
        <f>IF(B641="","",IFERROR(INDEX(Товары!$F$2:$F$51,MATCH(B641,Товары!$A$2:$A$51,0)),""))</f>
        <v/>
      </c>
      <c r="E641" s="8">
        <f>IF(OR(B641="",D641=""),"",C641*D641)</f>
        <v/>
      </c>
      <c r="F641" s="8">
        <f>IF(B641="","",IFERROR(C641*INDEX(Товары!$J$2:$J$51,MATCH(B641,Товары!$A$2:$A$51,0)),""))</f>
        <v/>
      </c>
      <c r="G641" s="2">
        <f>IF(A641="","",YEAR(A641)&amp;"-"&amp;TEXT(MONTH(A641),"00"))</f>
        <v/>
      </c>
    </row>
    <row r="642">
      <c r="A642" s="2" t="n"/>
      <c r="B642" s="2" t="n"/>
      <c r="C642" s="2" t="n"/>
      <c r="D642" s="8">
        <f>IF(B642="","",IFERROR(INDEX(Товары!$F$2:$F$51,MATCH(B642,Товары!$A$2:$A$51,0)),""))</f>
        <v/>
      </c>
      <c r="E642" s="8">
        <f>IF(OR(B642="",D642=""),"",C642*D642)</f>
        <v/>
      </c>
      <c r="F642" s="8">
        <f>IF(B642="","",IFERROR(C642*INDEX(Товары!$J$2:$J$51,MATCH(B642,Товары!$A$2:$A$51,0)),""))</f>
        <v/>
      </c>
      <c r="G642" s="2">
        <f>IF(A642="","",YEAR(A642)&amp;"-"&amp;TEXT(MONTH(A642),"00"))</f>
        <v/>
      </c>
    </row>
    <row r="643">
      <c r="A643" s="2" t="n"/>
      <c r="B643" s="2" t="n"/>
      <c r="C643" s="2" t="n"/>
      <c r="D643" s="8">
        <f>IF(B643="","",IFERROR(INDEX(Товары!$F$2:$F$51,MATCH(B643,Товары!$A$2:$A$51,0)),""))</f>
        <v/>
      </c>
      <c r="E643" s="8">
        <f>IF(OR(B643="",D643=""),"",C643*D643)</f>
        <v/>
      </c>
      <c r="F643" s="8">
        <f>IF(B643="","",IFERROR(C643*INDEX(Товары!$J$2:$J$51,MATCH(B643,Товары!$A$2:$A$51,0)),""))</f>
        <v/>
      </c>
      <c r="G643" s="2">
        <f>IF(A643="","",YEAR(A643)&amp;"-"&amp;TEXT(MONTH(A643),"00"))</f>
        <v/>
      </c>
    </row>
    <row r="644">
      <c r="A644" s="2" t="n"/>
      <c r="B644" s="2" t="n"/>
      <c r="C644" s="2" t="n"/>
      <c r="D644" s="8">
        <f>IF(B644="","",IFERROR(INDEX(Товары!$F$2:$F$51,MATCH(B644,Товары!$A$2:$A$51,0)),""))</f>
        <v/>
      </c>
      <c r="E644" s="8">
        <f>IF(OR(B644="",D644=""),"",C644*D644)</f>
        <v/>
      </c>
      <c r="F644" s="8">
        <f>IF(B644="","",IFERROR(C644*INDEX(Товары!$J$2:$J$51,MATCH(B644,Товары!$A$2:$A$51,0)),""))</f>
        <v/>
      </c>
      <c r="G644" s="2">
        <f>IF(A644="","",YEAR(A644)&amp;"-"&amp;TEXT(MONTH(A644),"00"))</f>
        <v/>
      </c>
    </row>
    <row r="645">
      <c r="A645" s="2" t="n"/>
      <c r="B645" s="2" t="n"/>
      <c r="C645" s="2" t="n"/>
      <c r="D645" s="8">
        <f>IF(B645="","",IFERROR(INDEX(Товары!$F$2:$F$51,MATCH(B645,Товары!$A$2:$A$51,0)),""))</f>
        <v/>
      </c>
      <c r="E645" s="8">
        <f>IF(OR(B645="",D645=""),"",C645*D645)</f>
        <v/>
      </c>
      <c r="F645" s="8">
        <f>IF(B645="","",IFERROR(C645*INDEX(Товары!$J$2:$J$51,MATCH(B645,Товары!$A$2:$A$51,0)),""))</f>
        <v/>
      </c>
      <c r="G645" s="2">
        <f>IF(A645="","",YEAR(A645)&amp;"-"&amp;TEXT(MONTH(A645),"00"))</f>
        <v/>
      </c>
    </row>
    <row r="646">
      <c r="A646" s="2" t="n"/>
      <c r="B646" s="2" t="n"/>
      <c r="C646" s="2" t="n"/>
      <c r="D646" s="8">
        <f>IF(B646="","",IFERROR(INDEX(Товары!$F$2:$F$51,MATCH(B646,Товары!$A$2:$A$51,0)),""))</f>
        <v/>
      </c>
      <c r="E646" s="8">
        <f>IF(OR(B646="",D646=""),"",C646*D646)</f>
        <v/>
      </c>
      <c r="F646" s="8">
        <f>IF(B646="","",IFERROR(C646*INDEX(Товары!$J$2:$J$51,MATCH(B646,Товары!$A$2:$A$51,0)),""))</f>
        <v/>
      </c>
      <c r="G646" s="2">
        <f>IF(A646="","",YEAR(A646)&amp;"-"&amp;TEXT(MONTH(A646),"00"))</f>
        <v/>
      </c>
    </row>
    <row r="647">
      <c r="A647" s="2" t="n"/>
      <c r="B647" s="2" t="n"/>
      <c r="C647" s="2" t="n"/>
      <c r="D647" s="8">
        <f>IF(B647="","",IFERROR(INDEX(Товары!$F$2:$F$51,MATCH(B647,Товары!$A$2:$A$51,0)),""))</f>
        <v/>
      </c>
      <c r="E647" s="8">
        <f>IF(OR(B647="",D647=""),"",C647*D647)</f>
        <v/>
      </c>
      <c r="F647" s="8">
        <f>IF(B647="","",IFERROR(C647*INDEX(Товары!$J$2:$J$51,MATCH(B647,Товары!$A$2:$A$51,0)),""))</f>
        <v/>
      </c>
      <c r="G647" s="2">
        <f>IF(A647="","",YEAR(A647)&amp;"-"&amp;TEXT(MONTH(A647),"00"))</f>
        <v/>
      </c>
    </row>
    <row r="648">
      <c r="A648" s="2" t="n"/>
      <c r="B648" s="2" t="n"/>
      <c r="C648" s="2" t="n"/>
      <c r="D648" s="8">
        <f>IF(B648="","",IFERROR(INDEX(Товары!$F$2:$F$51,MATCH(B648,Товары!$A$2:$A$51,0)),""))</f>
        <v/>
      </c>
      <c r="E648" s="8">
        <f>IF(OR(B648="",D648=""),"",C648*D648)</f>
        <v/>
      </c>
      <c r="F648" s="8">
        <f>IF(B648="","",IFERROR(C648*INDEX(Товары!$J$2:$J$51,MATCH(B648,Товары!$A$2:$A$51,0)),""))</f>
        <v/>
      </c>
      <c r="G648" s="2">
        <f>IF(A648="","",YEAR(A648)&amp;"-"&amp;TEXT(MONTH(A648),"00"))</f>
        <v/>
      </c>
    </row>
    <row r="649">
      <c r="A649" s="2" t="n"/>
      <c r="B649" s="2" t="n"/>
      <c r="C649" s="2" t="n"/>
      <c r="D649" s="8">
        <f>IF(B649="","",IFERROR(INDEX(Товары!$F$2:$F$51,MATCH(B649,Товары!$A$2:$A$51,0)),""))</f>
        <v/>
      </c>
      <c r="E649" s="8">
        <f>IF(OR(B649="",D649=""),"",C649*D649)</f>
        <v/>
      </c>
      <c r="F649" s="8">
        <f>IF(B649="","",IFERROR(C649*INDEX(Товары!$J$2:$J$51,MATCH(B649,Товары!$A$2:$A$51,0)),""))</f>
        <v/>
      </c>
      <c r="G649" s="2">
        <f>IF(A649="","",YEAR(A649)&amp;"-"&amp;TEXT(MONTH(A649),"00"))</f>
        <v/>
      </c>
    </row>
    <row r="650">
      <c r="A650" s="2" t="n"/>
      <c r="B650" s="2" t="n"/>
      <c r="C650" s="2" t="n"/>
      <c r="D650" s="8">
        <f>IF(B650="","",IFERROR(INDEX(Товары!$F$2:$F$51,MATCH(B650,Товары!$A$2:$A$51,0)),""))</f>
        <v/>
      </c>
      <c r="E650" s="8">
        <f>IF(OR(B650="",D650=""),"",C650*D650)</f>
        <v/>
      </c>
      <c r="F650" s="8">
        <f>IF(B650="","",IFERROR(C650*INDEX(Товары!$J$2:$J$51,MATCH(B650,Товары!$A$2:$A$51,0)),""))</f>
        <v/>
      </c>
      <c r="G650" s="2">
        <f>IF(A650="","",YEAR(A650)&amp;"-"&amp;TEXT(MONTH(A650),"00"))</f>
        <v/>
      </c>
    </row>
    <row r="651">
      <c r="A651" s="2" t="n"/>
      <c r="B651" s="2" t="n"/>
      <c r="C651" s="2" t="n"/>
      <c r="D651" s="8">
        <f>IF(B651="","",IFERROR(INDEX(Товары!$F$2:$F$51,MATCH(B651,Товары!$A$2:$A$51,0)),""))</f>
        <v/>
      </c>
      <c r="E651" s="8">
        <f>IF(OR(B651="",D651=""),"",C651*D651)</f>
        <v/>
      </c>
      <c r="F651" s="8">
        <f>IF(B651="","",IFERROR(C651*INDEX(Товары!$J$2:$J$51,MATCH(B651,Товары!$A$2:$A$51,0)),""))</f>
        <v/>
      </c>
      <c r="G651" s="2">
        <f>IF(A651="","",YEAR(A651)&amp;"-"&amp;TEXT(MONTH(A651),"00"))</f>
        <v/>
      </c>
    </row>
    <row r="652">
      <c r="A652" s="2" t="n"/>
      <c r="B652" s="2" t="n"/>
      <c r="C652" s="2" t="n"/>
      <c r="D652" s="8">
        <f>IF(B652="","",IFERROR(INDEX(Товары!$F$2:$F$51,MATCH(B652,Товары!$A$2:$A$51,0)),""))</f>
        <v/>
      </c>
      <c r="E652" s="8">
        <f>IF(OR(B652="",D652=""),"",C652*D652)</f>
        <v/>
      </c>
      <c r="F652" s="8">
        <f>IF(B652="","",IFERROR(C652*INDEX(Товары!$J$2:$J$51,MATCH(B652,Товары!$A$2:$A$51,0)),""))</f>
        <v/>
      </c>
      <c r="G652" s="2">
        <f>IF(A652="","",YEAR(A652)&amp;"-"&amp;TEXT(MONTH(A652),"00"))</f>
        <v/>
      </c>
    </row>
    <row r="653">
      <c r="A653" s="2" t="n"/>
      <c r="B653" s="2" t="n"/>
      <c r="C653" s="2" t="n"/>
      <c r="D653" s="8">
        <f>IF(B653="","",IFERROR(INDEX(Товары!$F$2:$F$51,MATCH(B653,Товары!$A$2:$A$51,0)),""))</f>
        <v/>
      </c>
      <c r="E653" s="8">
        <f>IF(OR(B653="",D653=""),"",C653*D653)</f>
        <v/>
      </c>
      <c r="F653" s="8">
        <f>IF(B653="","",IFERROR(C653*INDEX(Товары!$J$2:$J$51,MATCH(B653,Товары!$A$2:$A$51,0)),""))</f>
        <v/>
      </c>
      <c r="G653" s="2">
        <f>IF(A653="","",YEAR(A653)&amp;"-"&amp;TEXT(MONTH(A653),"00"))</f>
        <v/>
      </c>
    </row>
    <row r="654">
      <c r="A654" s="2" t="n"/>
      <c r="B654" s="2" t="n"/>
      <c r="C654" s="2" t="n"/>
      <c r="D654" s="8">
        <f>IF(B654="","",IFERROR(INDEX(Товары!$F$2:$F$51,MATCH(B654,Товары!$A$2:$A$51,0)),""))</f>
        <v/>
      </c>
      <c r="E654" s="8">
        <f>IF(OR(B654="",D654=""),"",C654*D654)</f>
        <v/>
      </c>
      <c r="F654" s="8">
        <f>IF(B654="","",IFERROR(C654*INDEX(Товары!$J$2:$J$51,MATCH(B654,Товары!$A$2:$A$51,0)),""))</f>
        <v/>
      </c>
      <c r="G654" s="2">
        <f>IF(A654="","",YEAR(A654)&amp;"-"&amp;TEXT(MONTH(A654),"00"))</f>
        <v/>
      </c>
    </row>
    <row r="655">
      <c r="A655" s="2" t="n"/>
      <c r="B655" s="2" t="n"/>
      <c r="C655" s="2" t="n"/>
      <c r="D655" s="8">
        <f>IF(B655="","",IFERROR(INDEX(Товары!$F$2:$F$51,MATCH(B655,Товары!$A$2:$A$51,0)),""))</f>
        <v/>
      </c>
      <c r="E655" s="8">
        <f>IF(OR(B655="",D655=""),"",C655*D655)</f>
        <v/>
      </c>
      <c r="F655" s="8">
        <f>IF(B655="","",IFERROR(C655*INDEX(Товары!$J$2:$J$51,MATCH(B655,Товары!$A$2:$A$51,0)),""))</f>
        <v/>
      </c>
      <c r="G655" s="2">
        <f>IF(A655="","",YEAR(A655)&amp;"-"&amp;TEXT(MONTH(A655),"00"))</f>
        <v/>
      </c>
    </row>
    <row r="656">
      <c r="A656" s="2" t="n"/>
      <c r="B656" s="2" t="n"/>
      <c r="C656" s="2" t="n"/>
      <c r="D656" s="8">
        <f>IF(B656="","",IFERROR(INDEX(Товары!$F$2:$F$51,MATCH(B656,Товары!$A$2:$A$51,0)),""))</f>
        <v/>
      </c>
      <c r="E656" s="8">
        <f>IF(OR(B656="",D656=""),"",C656*D656)</f>
        <v/>
      </c>
      <c r="F656" s="8">
        <f>IF(B656="","",IFERROR(C656*INDEX(Товары!$J$2:$J$51,MATCH(B656,Товары!$A$2:$A$51,0)),""))</f>
        <v/>
      </c>
      <c r="G656" s="2">
        <f>IF(A656="","",YEAR(A656)&amp;"-"&amp;TEXT(MONTH(A656),"00"))</f>
        <v/>
      </c>
    </row>
    <row r="657">
      <c r="A657" s="2" t="n"/>
      <c r="B657" s="2" t="n"/>
      <c r="C657" s="2" t="n"/>
      <c r="D657" s="8">
        <f>IF(B657="","",IFERROR(INDEX(Товары!$F$2:$F$51,MATCH(B657,Товары!$A$2:$A$51,0)),""))</f>
        <v/>
      </c>
      <c r="E657" s="8">
        <f>IF(OR(B657="",D657=""),"",C657*D657)</f>
        <v/>
      </c>
      <c r="F657" s="8">
        <f>IF(B657="","",IFERROR(C657*INDEX(Товары!$J$2:$J$51,MATCH(B657,Товары!$A$2:$A$51,0)),""))</f>
        <v/>
      </c>
      <c r="G657" s="2">
        <f>IF(A657="","",YEAR(A657)&amp;"-"&amp;TEXT(MONTH(A657),"00"))</f>
        <v/>
      </c>
    </row>
    <row r="658">
      <c r="A658" s="2" t="n"/>
      <c r="B658" s="2" t="n"/>
      <c r="C658" s="2" t="n"/>
      <c r="D658" s="8">
        <f>IF(B658="","",IFERROR(INDEX(Товары!$F$2:$F$51,MATCH(B658,Товары!$A$2:$A$51,0)),""))</f>
        <v/>
      </c>
      <c r="E658" s="8">
        <f>IF(OR(B658="",D658=""),"",C658*D658)</f>
        <v/>
      </c>
      <c r="F658" s="8">
        <f>IF(B658="","",IFERROR(C658*INDEX(Товары!$J$2:$J$51,MATCH(B658,Товары!$A$2:$A$51,0)),""))</f>
        <v/>
      </c>
      <c r="G658" s="2">
        <f>IF(A658="","",YEAR(A658)&amp;"-"&amp;TEXT(MONTH(A658),"00"))</f>
        <v/>
      </c>
    </row>
    <row r="659">
      <c r="A659" s="2" t="n"/>
      <c r="B659" s="2" t="n"/>
      <c r="C659" s="2" t="n"/>
      <c r="D659" s="8">
        <f>IF(B659="","",IFERROR(INDEX(Товары!$F$2:$F$51,MATCH(B659,Товары!$A$2:$A$51,0)),""))</f>
        <v/>
      </c>
      <c r="E659" s="8">
        <f>IF(OR(B659="",D659=""),"",C659*D659)</f>
        <v/>
      </c>
      <c r="F659" s="8">
        <f>IF(B659="","",IFERROR(C659*INDEX(Товары!$J$2:$J$51,MATCH(B659,Товары!$A$2:$A$51,0)),""))</f>
        <v/>
      </c>
      <c r="G659" s="2">
        <f>IF(A659="","",YEAR(A659)&amp;"-"&amp;TEXT(MONTH(A659),"00"))</f>
        <v/>
      </c>
    </row>
    <row r="660">
      <c r="A660" s="2" t="n"/>
      <c r="B660" s="2" t="n"/>
      <c r="C660" s="2" t="n"/>
      <c r="D660" s="8">
        <f>IF(B660="","",IFERROR(INDEX(Товары!$F$2:$F$51,MATCH(B660,Товары!$A$2:$A$51,0)),""))</f>
        <v/>
      </c>
      <c r="E660" s="8">
        <f>IF(OR(B660="",D660=""),"",C660*D660)</f>
        <v/>
      </c>
      <c r="F660" s="8">
        <f>IF(B660="","",IFERROR(C660*INDEX(Товары!$J$2:$J$51,MATCH(B660,Товары!$A$2:$A$51,0)),""))</f>
        <v/>
      </c>
      <c r="G660" s="2">
        <f>IF(A660="","",YEAR(A660)&amp;"-"&amp;TEXT(MONTH(A660),"00"))</f>
        <v/>
      </c>
    </row>
    <row r="661">
      <c r="A661" s="2" t="n"/>
      <c r="B661" s="2" t="n"/>
      <c r="C661" s="2" t="n"/>
      <c r="D661" s="8">
        <f>IF(B661="","",IFERROR(INDEX(Товары!$F$2:$F$51,MATCH(B661,Товары!$A$2:$A$51,0)),""))</f>
        <v/>
      </c>
      <c r="E661" s="8">
        <f>IF(OR(B661="",D661=""),"",C661*D661)</f>
        <v/>
      </c>
      <c r="F661" s="8">
        <f>IF(B661="","",IFERROR(C661*INDEX(Товары!$J$2:$J$51,MATCH(B661,Товары!$A$2:$A$51,0)),""))</f>
        <v/>
      </c>
      <c r="G661" s="2">
        <f>IF(A661="","",YEAR(A661)&amp;"-"&amp;TEXT(MONTH(A661),"00"))</f>
        <v/>
      </c>
    </row>
    <row r="662">
      <c r="A662" s="2" t="n"/>
      <c r="B662" s="2" t="n"/>
      <c r="C662" s="2" t="n"/>
      <c r="D662" s="8">
        <f>IF(B662="","",IFERROR(INDEX(Товары!$F$2:$F$51,MATCH(B662,Товары!$A$2:$A$51,0)),""))</f>
        <v/>
      </c>
      <c r="E662" s="8">
        <f>IF(OR(B662="",D662=""),"",C662*D662)</f>
        <v/>
      </c>
      <c r="F662" s="8">
        <f>IF(B662="","",IFERROR(C662*INDEX(Товары!$J$2:$J$51,MATCH(B662,Товары!$A$2:$A$51,0)),""))</f>
        <v/>
      </c>
      <c r="G662" s="2">
        <f>IF(A662="","",YEAR(A662)&amp;"-"&amp;TEXT(MONTH(A662),"00"))</f>
        <v/>
      </c>
    </row>
    <row r="663">
      <c r="A663" s="2" t="n"/>
      <c r="B663" s="2" t="n"/>
      <c r="C663" s="2" t="n"/>
      <c r="D663" s="8">
        <f>IF(B663="","",IFERROR(INDEX(Товары!$F$2:$F$51,MATCH(B663,Товары!$A$2:$A$51,0)),""))</f>
        <v/>
      </c>
      <c r="E663" s="8">
        <f>IF(OR(B663="",D663=""),"",C663*D663)</f>
        <v/>
      </c>
      <c r="F663" s="8">
        <f>IF(B663="","",IFERROR(C663*INDEX(Товары!$J$2:$J$51,MATCH(B663,Товары!$A$2:$A$51,0)),""))</f>
        <v/>
      </c>
      <c r="G663" s="2">
        <f>IF(A663="","",YEAR(A663)&amp;"-"&amp;TEXT(MONTH(A663),"00"))</f>
        <v/>
      </c>
    </row>
    <row r="664">
      <c r="A664" s="2" t="n"/>
      <c r="B664" s="2" t="n"/>
      <c r="C664" s="2" t="n"/>
      <c r="D664" s="8">
        <f>IF(B664="","",IFERROR(INDEX(Товары!$F$2:$F$51,MATCH(B664,Товары!$A$2:$A$51,0)),""))</f>
        <v/>
      </c>
      <c r="E664" s="8">
        <f>IF(OR(B664="",D664=""),"",C664*D664)</f>
        <v/>
      </c>
      <c r="F664" s="8">
        <f>IF(B664="","",IFERROR(C664*INDEX(Товары!$J$2:$J$51,MATCH(B664,Товары!$A$2:$A$51,0)),""))</f>
        <v/>
      </c>
      <c r="G664" s="2">
        <f>IF(A664="","",YEAR(A664)&amp;"-"&amp;TEXT(MONTH(A664),"00"))</f>
        <v/>
      </c>
    </row>
    <row r="665">
      <c r="A665" s="2" t="n"/>
      <c r="B665" s="2" t="n"/>
      <c r="C665" s="2" t="n"/>
      <c r="D665" s="8">
        <f>IF(B665="","",IFERROR(INDEX(Товары!$F$2:$F$51,MATCH(B665,Товары!$A$2:$A$51,0)),""))</f>
        <v/>
      </c>
      <c r="E665" s="8">
        <f>IF(OR(B665="",D665=""),"",C665*D665)</f>
        <v/>
      </c>
      <c r="F665" s="8">
        <f>IF(B665="","",IFERROR(C665*INDEX(Товары!$J$2:$J$51,MATCH(B665,Товары!$A$2:$A$51,0)),""))</f>
        <v/>
      </c>
      <c r="G665" s="2">
        <f>IF(A665="","",YEAR(A665)&amp;"-"&amp;TEXT(MONTH(A665),"00"))</f>
        <v/>
      </c>
    </row>
    <row r="666">
      <c r="A666" s="2" t="n"/>
      <c r="B666" s="2" t="n"/>
      <c r="C666" s="2" t="n"/>
      <c r="D666" s="8">
        <f>IF(B666="","",IFERROR(INDEX(Товары!$F$2:$F$51,MATCH(B666,Товары!$A$2:$A$51,0)),""))</f>
        <v/>
      </c>
      <c r="E666" s="8">
        <f>IF(OR(B666="",D666=""),"",C666*D666)</f>
        <v/>
      </c>
      <c r="F666" s="8">
        <f>IF(B666="","",IFERROR(C666*INDEX(Товары!$J$2:$J$51,MATCH(B666,Товары!$A$2:$A$51,0)),""))</f>
        <v/>
      </c>
      <c r="G666" s="2">
        <f>IF(A666="","",YEAR(A666)&amp;"-"&amp;TEXT(MONTH(A666),"00"))</f>
        <v/>
      </c>
    </row>
    <row r="667">
      <c r="A667" s="2" t="n"/>
      <c r="B667" s="2" t="n"/>
      <c r="C667" s="2" t="n"/>
      <c r="D667" s="8">
        <f>IF(B667="","",IFERROR(INDEX(Товары!$F$2:$F$51,MATCH(B667,Товары!$A$2:$A$51,0)),""))</f>
        <v/>
      </c>
      <c r="E667" s="8">
        <f>IF(OR(B667="",D667=""),"",C667*D667)</f>
        <v/>
      </c>
      <c r="F667" s="8">
        <f>IF(B667="","",IFERROR(C667*INDEX(Товары!$J$2:$J$51,MATCH(B667,Товары!$A$2:$A$51,0)),""))</f>
        <v/>
      </c>
      <c r="G667" s="2">
        <f>IF(A667="","",YEAR(A667)&amp;"-"&amp;TEXT(MONTH(A667),"00"))</f>
        <v/>
      </c>
    </row>
    <row r="668">
      <c r="A668" s="2" t="n"/>
      <c r="B668" s="2" t="n"/>
      <c r="C668" s="2" t="n"/>
      <c r="D668" s="8">
        <f>IF(B668="","",IFERROR(INDEX(Товары!$F$2:$F$51,MATCH(B668,Товары!$A$2:$A$51,0)),""))</f>
        <v/>
      </c>
      <c r="E668" s="8">
        <f>IF(OR(B668="",D668=""),"",C668*D668)</f>
        <v/>
      </c>
      <c r="F668" s="8">
        <f>IF(B668="","",IFERROR(C668*INDEX(Товары!$J$2:$J$51,MATCH(B668,Товары!$A$2:$A$51,0)),""))</f>
        <v/>
      </c>
      <c r="G668" s="2">
        <f>IF(A668="","",YEAR(A668)&amp;"-"&amp;TEXT(MONTH(A668),"00"))</f>
        <v/>
      </c>
    </row>
    <row r="669">
      <c r="A669" s="2" t="n"/>
      <c r="B669" s="2" t="n"/>
      <c r="C669" s="2" t="n"/>
      <c r="D669" s="8">
        <f>IF(B669="","",IFERROR(INDEX(Товары!$F$2:$F$51,MATCH(B669,Товары!$A$2:$A$51,0)),""))</f>
        <v/>
      </c>
      <c r="E669" s="8">
        <f>IF(OR(B669="",D669=""),"",C669*D669)</f>
        <v/>
      </c>
      <c r="F669" s="8">
        <f>IF(B669="","",IFERROR(C669*INDEX(Товары!$J$2:$J$51,MATCH(B669,Товары!$A$2:$A$51,0)),""))</f>
        <v/>
      </c>
      <c r="G669" s="2">
        <f>IF(A669="","",YEAR(A669)&amp;"-"&amp;TEXT(MONTH(A669),"00"))</f>
        <v/>
      </c>
    </row>
    <row r="670">
      <c r="A670" s="2" t="n"/>
      <c r="B670" s="2" t="n"/>
      <c r="C670" s="2" t="n"/>
      <c r="D670" s="8">
        <f>IF(B670="","",IFERROR(INDEX(Товары!$F$2:$F$51,MATCH(B670,Товары!$A$2:$A$51,0)),""))</f>
        <v/>
      </c>
      <c r="E670" s="8">
        <f>IF(OR(B670="",D670=""),"",C670*D670)</f>
        <v/>
      </c>
      <c r="F670" s="8">
        <f>IF(B670="","",IFERROR(C670*INDEX(Товары!$J$2:$J$51,MATCH(B670,Товары!$A$2:$A$51,0)),""))</f>
        <v/>
      </c>
      <c r="G670" s="2">
        <f>IF(A670="","",YEAR(A670)&amp;"-"&amp;TEXT(MONTH(A670),"00"))</f>
        <v/>
      </c>
    </row>
    <row r="671">
      <c r="A671" s="2" t="n"/>
      <c r="B671" s="2" t="n"/>
      <c r="C671" s="2" t="n"/>
      <c r="D671" s="8">
        <f>IF(B671="","",IFERROR(INDEX(Товары!$F$2:$F$51,MATCH(B671,Товары!$A$2:$A$51,0)),""))</f>
        <v/>
      </c>
      <c r="E671" s="8">
        <f>IF(OR(B671="",D671=""),"",C671*D671)</f>
        <v/>
      </c>
      <c r="F671" s="8">
        <f>IF(B671="","",IFERROR(C671*INDEX(Товары!$J$2:$J$51,MATCH(B671,Товары!$A$2:$A$51,0)),""))</f>
        <v/>
      </c>
      <c r="G671" s="2">
        <f>IF(A671="","",YEAR(A671)&amp;"-"&amp;TEXT(MONTH(A671),"00"))</f>
        <v/>
      </c>
    </row>
    <row r="672">
      <c r="A672" s="2" t="n"/>
      <c r="B672" s="2" t="n"/>
      <c r="C672" s="2" t="n"/>
      <c r="D672" s="8">
        <f>IF(B672="","",IFERROR(INDEX(Товары!$F$2:$F$51,MATCH(B672,Товары!$A$2:$A$51,0)),""))</f>
        <v/>
      </c>
      <c r="E672" s="8">
        <f>IF(OR(B672="",D672=""),"",C672*D672)</f>
        <v/>
      </c>
      <c r="F672" s="8">
        <f>IF(B672="","",IFERROR(C672*INDEX(Товары!$J$2:$J$51,MATCH(B672,Товары!$A$2:$A$51,0)),""))</f>
        <v/>
      </c>
      <c r="G672" s="2">
        <f>IF(A672="","",YEAR(A672)&amp;"-"&amp;TEXT(MONTH(A672),"00"))</f>
        <v/>
      </c>
    </row>
    <row r="673">
      <c r="A673" s="2" t="n"/>
      <c r="B673" s="2" t="n"/>
      <c r="C673" s="2" t="n"/>
      <c r="D673" s="8">
        <f>IF(B673="","",IFERROR(INDEX(Товары!$F$2:$F$51,MATCH(B673,Товары!$A$2:$A$51,0)),""))</f>
        <v/>
      </c>
      <c r="E673" s="8">
        <f>IF(OR(B673="",D673=""),"",C673*D673)</f>
        <v/>
      </c>
      <c r="F673" s="8">
        <f>IF(B673="","",IFERROR(C673*INDEX(Товары!$J$2:$J$51,MATCH(B673,Товары!$A$2:$A$51,0)),""))</f>
        <v/>
      </c>
      <c r="G673" s="2">
        <f>IF(A673="","",YEAR(A673)&amp;"-"&amp;TEXT(MONTH(A673),"00"))</f>
        <v/>
      </c>
    </row>
    <row r="674">
      <c r="A674" s="2" t="n"/>
      <c r="B674" s="2" t="n"/>
      <c r="C674" s="2" t="n"/>
      <c r="D674" s="8">
        <f>IF(B674="","",IFERROR(INDEX(Товары!$F$2:$F$51,MATCH(B674,Товары!$A$2:$A$51,0)),""))</f>
        <v/>
      </c>
      <c r="E674" s="8">
        <f>IF(OR(B674="",D674=""),"",C674*D674)</f>
        <v/>
      </c>
      <c r="F674" s="8">
        <f>IF(B674="","",IFERROR(C674*INDEX(Товары!$J$2:$J$51,MATCH(B674,Товары!$A$2:$A$51,0)),""))</f>
        <v/>
      </c>
      <c r="G674" s="2">
        <f>IF(A674="","",YEAR(A674)&amp;"-"&amp;TEXT(MONTH(A674),"00"))</f>
        <v/>
      </c>
    </row>
    <row r="675">
      <c r="A675" s="2" t="n"/>
      <c r="B675" s="2" t="n"/>
      <c r="C675" s="2" t="n"/>
      <c r="D675" s="8">
        <f>IF(B675="","",IFERROR(INDEX(Товары!$F$2:$F$51,MATCH(B675,Товары!$A$2:$A$51,0)),""))</f>
        <v/>
      </c>
      <c r="E675" s="8">
        <f>IF(OR(B675="",D675=""),"",C675*D675)</f>
        <v/>
      </c>
      <c r="F675" s="8">
        <f>IF(B675="","",IFERROR(C675*INDEX(Товары!$J$2:$J$51,MATCH(B675,Товары!$A$2:$A$51,0)),""))</f>
        <v/>
      </c>
      <c r="G675" s="2">
        <f>IF(A675="","",YEAR(A675)&amp;"-"&amp;TEXT(MONTH(A675),"00"))</f>
        <v/>
      </c>
    </row>
    <row r="676">
      <c r="A676" s="2" t="n"/>
      <c r="B676" s="2" t="n"/>
      <c r="C676" s="2" t="n"/>
      <c r="D676" s="8">
        <f>IF(B676="","",IFERROR(INDEX(Товары!$F$2:$F$51,MATCH(B676,Товары!$A$2:$A$51,0)),""))</f>
        <v/>
      </c>
      <c r="E676" s="8">
        <f>IF(OR(B676="",D676=""),"",C676*D676)</f>
        <v/>
      </c>
      <c r="F676" s="8">
        <f>IF(B676="","",IFERROR(C676*INDEX(Товары!$J$2:$J$51,MATCH(B676,Товары!$A$2:$A$51,0)),""))</f>
        <v/>
      </c>
      <c r="G676" s="2">
        <f>IF(A676="","",YEAR(A676)&amp;"-"&amp;TEXT(MONTH(A676),"00"))</f>
        <v/>
      </c>
    </row>
    <row r="677">
      <c r="A677" s="2" t="n"/>
      <c r="B677" s="2" t="n"/>
      <c r="C677" s="2" t="n"/>
      <c r="D677" s="8">
        <f>IF(B677="","",IFERROR(INDEX(Товары!$F$2:$F$51,MATCH(B677,Товары!$A$2:$A$51,0)),""))</f>
        <v/>
      </c>
      <c r="E677" s="8">
        <f>IF(OR(B677="",D677=""),"",C677*D677)</f>
        <v/>
      </c>
      <c r="F677" s="8">
        <f>IF(B677="","",IFERROR(C677*INDEX(Товары!$J$2:$J$51,MATCH(B677,Товары!$A$2:$A$51,0)),""))</f>
        <v/>
      </c>
      <c r="G677" s="2">
        <f>IF(A677="","",YEAR(A677)&amp;"-"&amp;TEXT(MONTH(A677),"00"))</f>
        <v/>
      </c>
    </row>
    <row r="678">
      <c r="A678" s="2" t="n"/>
      <c r="B678" s="2" t="n"/>
      <c r="C678" s="2" t="n"/>
      <c r="D678" s="8">
        <f>IF(B678="","",IFERROR(INDEX(Товары!$F$2:$F$51,MATCH(B678,Товары!$A$2:$A$51,0)),""))</f>
        <v/>
      </c>
      <c r="E678" s="8">
        <f>IF(OR(B678="",D678=""),"",C678*D678)</f>
        <v/>
      </c>
      <c r="F678" s="8">
        <f>IF(B678="","",IFERROR(C678*INDEX(Товары!$J$2:$J$51,MATCH(B678,Товары!$A$2:$A$51,0)),""))</f>
        <v/>
      </c>
      <c r="G678" s="2">
        <f>IF(A678="","",YEAR(A678)&amp;"-"&amp;TEXT(MONTH(A678),"00"))</f>
        <v/>
      </c>
    </row>
    <row r="679">
      <c r="A679" s="2" t="n"/>
      <c r="B679" s="2" t="n"/>
      <c r="C679" s="2" t="n"/>
      <c r="D679" s="8">
        <f>IF(B679="","",IFERROR(INDEX(Товары!$F$2:$F$51,MATCH(B679,Товары!$A$2:$A$51,0)),""))</f>
        <v/>
      </c>
      <c r="E679" s="8">
        <f>IF(OR(B679="",D679=""),"",C679*D679)</f>
        <v/>
      </c>
      <c r="F679" s="8">
        <f>IF(B679="","",IFERROR(C679*INDEX(Товары!$J$2:$J$51,MATCH(B679,Товары!$A$2:$A$51,0)),""))</f>
        <v/>
      </c>
      <c r="G679" s="2">
        <f>IF(A679="","",YEAR(A679)&amp;"-"&amp;TEXT(MONTH(A679),"00"))</f>
        <v/>
      </c>
    </row>
    <row r="680">
      <c r="A680" s="2" t="n"/>
      <c r="B680" s="2" t="n"/>
      <c r="C680" s="2" t="n"/>
      <c r="D680" s="8">
        <f>IF(B680="","",IFERROR(INDEX(Товары!$F$2:$F$51,MATCH(B680,Товары!$A$2:$A$51,0)),""))</f>
        <v/>
      </c>
      <c r="E680" s="8">
        <f>IF(OR(B680="",D680=""),"",C680*D680)</f>
        <v/>
      </c>
      <c r="F680" s="8">
        <f>IF(B680="","",IFERROR(C680*INDEX(Товары!$J$2:$J$51,MATCH(B680,Товары!$A$2:$A$51,0)),""))</f>
        <v/>
      </c>
      <c r="G680" s="2">
        <f>IF(A680="","",YEAR(A680)&amp;"-"&amp;TEXT(MONTH(A680),"00"))</f>
        <v/>
      </c>
    </row>
    <row r="681">
      <c r="A681" s="2" t="n"/>
      <c r="B681" s="2" t="n"/>
      <c r="C681" s="2" t="n"/>
      <c r="D681" s="8">
        <f>IF(B681="","",IFERROR(INDEX(Товары!$F$2:$F$51,MATCH(B681,Товары!$A$2:$A$51,0)),""))</f>
        <v/>
      </c>
      <c r="E681" s="8">
        <f>IF(OR(B681="",D681=""),"",C681*D681)</f>
        <v/>
      </c>
      <c r="F681" s="8">
        <f>IF(B681="","",IFERROR(C681*INDEX(Товары!$J$2:$J$51,MATCH(B681,Товары!$A$2:$A$51,0)),""))</f>
        <v/>
      </c>
      <c r="G681" s="2">
        <f>IF(A681="","",YEAR(A681)&amp;"-"&amp;TEXT(MONTH(A681),"00"))</f>
        <v/>
      </c>
    </row>
    <row r="682">
      <c r="A682" s="2" t="n"/>
      <c r="B682" s="2" t="n"/>
      <c r="C682" s="2" t="n"/>
      <c r="D682" s="8">
        <f>IF(B682="","",IFERROR(INDEX(Товары!$F$2:$F$51,MATCH(B682,Товары!$A$2:$A$51,0)),""))</f>
        <v/>
      </c>
      <c r="E682" s="8">
        <f>IF(OR(B682="",D682=""),"",C682*D682)</f>
        <v/>
      </c>
      <c r="F682" s="8">
        <f>IF(B682="","",IFERROR(C682*INDEX(Товары!$J$2:$J$51,MATCH(B682,Товары!$A$2:$A$51,0)),""))</f>
        <v/>
      </c>
      <c r="G682" s="2">
        <f>IF(A682="","",YEAR(A682)&amp;"-"&amp;TEXT(MONTH(A682),"00"))</f>
        <v/>
      </c>
    </row>
    <row r="683">
      <c r="A683" s="2" t="n"/>
      <c r="B683" s="2" t="n"/>
      <c r="C683" s="2" t="n"/>
      <c r="D683" s="8">
        <f>IF(B683="","",IFERROR(INDEX(Товары!$F$2:$F$51,MATCH(B683,Товары!$A$2:$A$51,0)),""))</f>
        <v/>
      </c>
      <c r="E683" s="8">
        <f>IF(OR(B683="",D683=""),"",C683*D683)</f>
        <v/>
      </c>
      <c r="F683" s="8">
        <f>IF(B683="","",IFERROR(C683*INDEX(Товары!$J$2:$J$51,MATCH(B683,Товары!$A$2:$A$51,0)),""))</f>
        <v/>
      </c>
      <c r="G683" s="2">
        <f>IF(A683="","",YEAR(A683)&amp;"-"&amp;TEXT(MONTH(A683),"00"))</f>
        <v/>
      </c>
    </row>
    <row r="684">
      <c r="A684" s="2" t="n"/>
      <c r="B684" s="2" t="n"/>
      <c r="C684" s="2" t="n"/>
      <c r="D684" s="8">
        <f>IF(B684="","",IFERROR(INDEX(Товары!$F$2:$F$51,MATCH(B684,Товары!$A$2:$A$51,0)),""))</f>
        <v/>
      </c>
      <c r="E684" s="8">
        <f>IF(OR(B684="",D684=""),"",C684*D684)</f>
        <v/>
      </c>
      <c r="F684" s="8">
        <f>IF(B684="","",IFERROR(C684*INDEX(Товары!$J$2:$J$51,MATCH(B684,Товары!$A$2:$A$51,0)),""))</f>
        <v/>
      </c>
      <c r="G684" s="2">
        <f>IF(A684="","",YEAR(A684)&amp;"-"&amp;TEXT(MONTH(A684),"00"))</f>
        <v/>
      </c>
    </row>
    <row r="685">
      <c r="A685" s="2" t="n"/>
      <c r="B685" s="2" t="n"/>
      <c r="C685" s="2" t="n"/>
      <c r="D685" s="8">
        <f>IF(B685="","",IFERROR(INDEX(Товары!$F$2:$F$51,MATCH(B685,Товары!$A$2:$A$51,0)),""))</f>
        <v/>
      </c>
      <c r="E685" s="8">
        <f>IF(OR(B685="",D685=""),"",C685*D685)</f>
        <v/>
      </c>
      <c r="F685" s="8">
        <f>IF(B685="","",IFERROR(C685*INDEX(Товары!$J$2:$J$51,MATCH(B685,Товары!$A$2:$A$51,0)),""))</f>
        <v/>
      </c>
      <c r="G685" s="2">
        <f>IF(A685="","",YEAR(A685)&amp;"-"&amp;TEXT(MONTH(A685),"00"))</f>
        <v/>
      </c>
    </row>
    <row r="686">
      <c r="A686" s="2" t="n"/>
      <c r="B686" s="2" t="n"/>
      <c r="C686" s="2" t="n"/>
      <c r="D686" s="8">
        <f>IF(B686="","",IFERROR(INDEX(Товары!$F$2:$F$51,MATCH(B686,Товары!$A$2:$A$51,0)),""))</f>
        <v/>
      </c>
      <c r="E686" s="8">
        <f>IF(OR(B686="",D686=""),"",C686*D686)</f>
        <v/>
      </c>
      <c r="F686" s="8">
        <f>IF(B686="","",IFERROR(C686*INDEX(Товары!$J$2:$J$51,MATCH(B686,Товары!$A$2:$A$51,0)),""))</f>
        <v/>
      </c>
      <c r="G686" s="2">
        <f>IF(A686="","",YEAR(A686)&amp;"-"&amp;TEXT(MONTH(A686),"00"))</f>
        <v/>
      </c>
    </row>
    <row r="687">
      <c r="A687" s="2" t="n"/>
      <c r="B687" s="2" t="n"/>
      <c r="C687" s="2" t="n"/>
      <c r="D687" s="8">
        <f>IF(B687="","",IFERROR(INDEX(Товары!$F$2:$F$51,MATCH(B687,Товары!$A$2:$A$51,0)),""))</f>
        <v/>
      </c>
      <c r="E687" s="8">
        <f>IF(OR(B687="",D687=""),"",C687*D687)</f>
        <v/>
      </c>
      <c r="F687" s="8">
        <f>IF(B687="","",IFERROR(C687*INDEX(Товары!$J$2:$J$51,MATCH(B687,Товары!$A$2:$A$51,0)),""))</f>
        <v/>
      </c>
      <c r="G687" s="2">
        <f>IF(A687="","",YEAR(A687)&amp;"-"&amp;TEXT(MONTH(A687),"00"))</f>
        <v/>
      </c>
    </row>
    <row r="688">
      <c r="A688" s="2" t="n"/>
      <c r="B688" s="2" t="n"/>
      <c r="C688" s="2" t="n"/>
      <c r="D688" s="8">
        <f>IF(B688="","",IFERROR(INDEX(Товары!$F$2:$F$51,MATCH(B688,Товары!$A$2:$A$51,0)),""))</f>
        <v/>
      </c>
      <c r="E688" s="8">
        <f>IF(OR(B688="",D688=""),"",C688*D688)</f>
        <v/>
      </c>
      <c r="F688" s="8">
        <f>IF(B688="","",IFERROR(C688*INDEX(Товары!$J$2:$J$51,MATCH(B688,Товары!$A$2:$A$51,0)),""))</f>
        <v/>
      </c>
      <c r="G688" s="2">
        <f>IF(A688="","",YEAR(A688)&amp;"-"&amp;TEXT(MONTH(A688),"00"))</f>
        <v/>
      </c>
    </row>
    <row r="689">
      <c r="A689" s="2" t="n"/>
      <c r="B689" s="2" t="n"/>
      <c r="C689" s="2" t="n"/>
      <c r="D689" s="8">
        <f>IF(B689="","",IFERROR(INDEX(Товары!$F$2:$F$51,MATCH(B689,Товары!$A$2:$A$51,0)),""))</f>
        <v/>
      </c>
      <c r="E689" s="8">
        <f>IF(OR(B689="",D689=""),"",C689*D689)</f>
        <v/>
      </c>
      <c r="F689" s="8">
        <f>IF(B689="","",IFERROR(C689*INDEX(Товары!$J$2:$J$51,MATCH(B689,Товары!$A$2:$A$51,0)),""))</f>
        <v/>
      </c>
      <c r="G689" s="2">
        <f>IF(A689="","",YEAR(A689)&amp;"-"&amp;TEXT(MONTH(A689),"00"))</f>
        <v/>
      </c>
    </row>
    <row r="690">
      <c r="A690" s="2" t="n"/>
      <c r="B690" s="2" t="n"/>
      <c r="C690" s="2" t="n"/>
      <c r="D690" s="8">
        <f>IF(B690="","",IFERROR(INDEX(Товары!$F$2:$F$51,MATCH(B690,Товары!$A$2:$A$51,0)),""))</f>
        <v/>
      </c>
      <c r="E690" s="8">
        <f>IF(OR(B690="",D690=""),"",C690*D690)</f>
        <v/>
      </c>
      <c r="F690" s="8">
        <f>IF(B690="","",IFERROR(C690*INDEX(Товары!$J$2:$J$51,MATCH(B690,Товары!$A$2:$A$51,0)),""))</f>
        <v/>
      </c>
      <c r="G690" s="2">
        <f>IF(A690="","",YEAR(A690)&amp;"-"&amp;TEXT(MONTH(A690),"00"))</f>
        <v/>
      </c>
    </row>
    <row r="691">
      <c r="A691" s="2" t="n"/>
      <c r="B691" s="2" t="n"/>
      <c r="C691" s="2" t="n"/>
      <c r="D691" s="8">
        <f>IF(B691="","",IFERROR(INDEX(Товары!$F$2:$F$51,MATCH(B691,Товары!$A$2:$A$51,0)),""))</f>
        <v/>
      </c>
      <c r="E691" s="8">
        <f>IF(OR(B691="",D691=""),"",C691*D691)</f>
        <v/>
      </c>
      <c r="F691" s="8">
        <f>IF(B691="","",IFERROR(C691*INDEX(Товары!$J$2:$J$51,MATCH(B691,Товары!$A$2:$A$51,0)),""))</f>
        <v/>
      </c>
      <c r="G691" s="2">
        <f>IF(A691="","",YEAR(A691)&amp;"-"&amp;TEXT(MONTH(A691),"00"))</f>
        <v/>
      </c>
    </row>
    <row r="692">
      <c r="A692" s="2" t="n"/>
      <c r="B692" s="2" t="n"/>
      <c r="C692" s="2" t="n"/>
      <c r="D692" s="8">
        <f>IF(B692="","",IFERROR(INDEX(Товары!$F$2:$F$51,MATCH(B692,Товары!$A$2:$A$51,0)),""))</f>
        <v/>
      </c>
      <c r="E692" s="8">
        <f>IF(OR(B692="",D692=""),"",C692*D692)</f>
        <v/>
      </c>
      <c r="F692" s="8">
        <f>IF(B692="","",IFERROR(C692*INDEX(Товары!$J$2:$J$51,MATCH(B692,Товары!$A$2:$A$51,0)),""))</f>
        <v/>
      </c>
      <c r="G692" s="2">
        <f>IF(A692="","",YEAR(A692)&amp;"-"&amp;TEXT(MONTH(A692),"00"))</f>
        <v/>
      </c>
    </row>
    <row r="693">
      <c r="A693" s="2" t="n"/>
      <c r="B693" s="2" t="n"/>
      <c r="C693" s="2" t="n"/>
      <c r="D693" s="8">
        <f>IF(B693="","",IFERROR(INDEX(Товары!$F$2:$F$51,MATCH(B693,Товары!$A$2:$A$51,0)),""))</f>
        <v/>
      </c>
      <c r="E693" s="8">
        <f>IF(OR(B693="",D693=""),"",C693*D693)</f>
        <v/>
      </c>
      <c r="F693" s="8">
        <f>IF(B693="","",IFERROR(C693*INDEX(Товары!$J$2:$J$51,MATCH(B693,Товары!$A$2:$A$51,0)),""))</f>
        <v/>
      </c>
      <c r="G693" s="2">
        <f>IF(A693="","",YEAR(A693)&amp;"-"&amp;TEXT(MONTH(A693),"00"))</f>
        <v/>
      </c>
    </row>
    <row r="694">
      <c r="A694" s="2" t="n"/>
      <c r="B694" s="2" t="n"/>
      <c r="C694" s="2" t="n"/>
      <c r="D694" s="8">
        <f>IF(B694="","",IFERROR(INDEX(Товары!$F$2:$F$51,MATCH(B694,Товары!$A$2:$A$51,0)),""))</f>
        <v/>
      </c>
      <c r="E694" s="8">
        <f>IF(OR(B694="",D694=""),"",C694*D694)</f>
        <v/>
      </c>
      <c r="F694" s="8">
        <f>IF(B694="","",IFERROR(C694*INDEX(Товары!$J$2:$J$51,MATCH(B694,Товары!$A$2:$A$51,0)),""))</f>
        <v/>
      </c>
      <c r="G694" s="2">
        <f>IF(A694="","",YEAR(A694)&amp;"-"&amp;TEXT(MONTH(A694),"00"))</f>
        <v/>
      </c>
    </row>
    <row r="695">
      <c r="A695" s="2" t="n"/>
      <c r="B695" s="2" t="n"/>
      <c r="C695" s="2" t="n"/>
      <c r="D695" s="8">
        <f>IF(B695="","",IFERROR(INDEX(Товары!$F$2:$F$51,MATCH(B695,Товары!$A$2:$A$51,0)),""))</f>
        <v/>
      </c>
      <c r="E695" s="8">
        <f>IF(OR(B695="",D695=""),"",C695*D695)</f>
        <v/>
      </c>
      <c r="F695" s="8">
        <f>IF(B695="","",IFERROR(C695*INDEX(Товары!$J$2:$J$51,MATCH(B695,Товары!$A$2:$A$51,0)),""))</f>
        <v/>
      </c>
      <c r="G695" s="2">
        <f>IF(A695="","",YEAR(A695)&amp;"-"&amp;TEXT(MONTH(A695),"00"))</f>
        <v/>
      </c>
    </row>
    <row r="696">
      <c r="A696" s="2" t="n"/>
      <c r="B696" s="2" t="n"/>
      <c r="C696" s="2" t="n"/>
      <c r="D696" s="8">
        <f>IF(B696="","",IFERROR(INDEX(Товары!$F$2:$F$51,MATCH(B696,Товары!$A$2:$A$51,0)),""))</f>
        <v/>
      </c>
      <c r="E696" s="8">
        <f>IF(OR(B696="",D696=""),"",C696*D696)</f>
        <v/>
      </c>
      <c r="F696" s="8">
        <f>IF(B696="","",IFERROR(C696*INDEX(Товары!$J$2:$J$51,MATCH(B696,Товары!$A$2:$A$51,0)),""))</f>
        <v/>
      </c>
      <c r="G696" s="2">
        <f>IF(A696="","",YEAR(A696)&amp;"-"&amp;TEXT(MONTH(A696),"00"))</f>
        <v/>
      </c>
    </row>
    <row r="697">
      <c r="A697" s="2" t="n"/>
      <c r="B697" s="2" t="n"/>
      <c r="C697" s="2" t="n"/>
      <c r="D697" s="8">
        <f>IF(B697="","",IFERROR(INDEX(Товары!$F$2:$F$51,MATCH(B697,Товары!$A$2:$A$51,0)),""))</f>
        <v/>
      </c>
      <c r="E697" s="8">
        <f>IF(OR(B697="",D697=""),"",C697*D697)</f>
        <v/>
      </c>
      <c r="F697" s="8">
        <f>IF(B697="","",IFERROR(C697*INDEX(Товары!$J$2:$J$51,MATCH(B697,Товары!$A$2:$A$51,0)),""))</f>
        <v/>
      </c>
      <c r="G697" s="2">
        <f>IF(A697="","",YEAR(A697)&amp;"-"&amp;TEXT(MONTH(A697),"00"))</f>
        <v/>
      </c>
    </row>
    <row r="698">
      <c r="A698" s="2" t="n"/>
      <c r="B698" s="2" t="n"/>
      <c r="C698" s="2" t="n"/>
      <c r="D698" s="8">
        <f>IF(B698="","",IFERROR(INDEX(Товары!$F$2:$F$51,MATCH(B698,Товары!$A$2:$A$51,0)),""))</f>
        <v/>
      </c>
      <c r="E698" s="8">
        <f>IF(OR(B698="",D698=""),"",C698*D698)</f>
        <v/>
      </c>
      <c r="F698" s="8">
        <f>IF(B698="","",IFERROR(C698*INDEX(Товары!$J$2:$J$51,MATCH(B698,Товары!$A$2:$A$51,0)),""))</f>
        <v/>
      </c>
      <c r="G698" s="2">
        <f>IF(A698="","",YEAR(A698)&amp;"-"&amp;TEXT(MONTH(A698),"00"))</f>
        <v/>
      </c>
    </row>
    <row r="699">
      <c r="A699" s="2" t="n"/>
      <c r="B699" s="2" t="n"/>
      <c r="C699" s="2" t="n"/>
      <c r="D699" s="8">
        <f>IF(B699="","",IFERROR(INDEX(Товары!$F$2:$F$51,MATCH(B699,Товары!$A$2:$A$51,0)),""))</f>
        <v/>
      </c>
      <c r="E699" s="8">
        <f>IF(OR(B699="",D699=""),"",C699*D699)</f>
        <v/>
      </c>
      <c r="F699" s="8">
        <f>IF(B699="","",IFERROR(C699*INDEX(Товары!$J$2:$J$51,MATCH(B699,Товары!$A$2:$A$51,0)),""))</f>
        <v/>
      </c>
      <c r="G699" s="2">
        <f>IF(A699="","",YEAR(A699)&amp;"-"&amp;TEXT(MONTH(A699),"00"))</f>
        <v/>
      </c>
    </row>
    <row r="700">
      <c r="A700" s="2" t="n"/>
      <c r="B700" s="2" t="n"/>
      <c r="C700" s="2" t="n"/>
      <c r="D700" s="8">
        <f>IF(B700="","",IFERROR(INDEX(Товары!$F$2:$F$51,MATCH(B700,Товары!$A$2:$A$51,0)),""))</f>
        <v/>
      </c>
      <c r="E700" s="8">
        <f>IF(OR(B700="",D700=""),"",C700*D700)</f>
        <v/>
      </c>
      <c r="F700" s="8">
        <f>IF(B700="","",IFERROR(C700*INDEX(Товары!$J$2:$J$51,MATCH(B700,Товары!$A$2:$A$51,0)),""))</f>
        <v/>
      </c>
      <c r="G700" s="2">
        <f>IF(A700="","",YEAR(A700)&amp;"-"&amp;TEXT(MONTH(A700),"00"))</f>
        <v/>
      </c>
    </row>
    <row r="701">
      <c r="A701" s="2" t="n"/>
      <c r="B701" s="2" t="n"/>
      <c r="C701" s="2" t="n"/>
      <c r="D701" s="8">
        <f>IF(B701="","",IFERROR(INDEX(Товары!$F$2:$F$51,MATCH(B701,Товары!$A$2:$A$51,0)),""))</f>
        <v/>
      </c>
      <c r="E701" s="8">
        <f>IF(OR(B701="",D701=""),"",C701*D701)</f>
        <v/>
      </c>
      <c r="F701" s="8">
        <f>IF(B701="","",IFERROR(C701*INDEX(Товары!$J$2:$J$51,MATCH(B701,Товары!$A$2:$A$51,0)),""))</f>
        <v/>
      </c>
      <c r="G701" s="2">
        <f>IF(A701="","",YEAR(A701)&amp;"-"&amp;TEXT(MONTH(A701),"00"))</f>
        <v/>
      </c>
    </row>
    <row r="702">
      <c r="A702" s="2" t="n"/>
      <c r="B702" s="2" t="n"/>
      <c r="C702" s="2" t="n"/>
      <c r="D702" s="8">
        <f>IF(B702="","",IFERROR(INDEX(Товары!$F$2:$F$51,MATCH(B702,Товары!$A$2:$A$51,0)),""))</f>
        <v/>
      </c>
      <c r="E702" s="8">
        <f>IF(OR(B702="",D702=""),"",C702*D702)</f>
        <v/>
      </c>
      <c r="F702" s="8">
        <f>IF(B702="","",IFERROR(C702*INDEX(Товары!$J$2:$J$51,MATCH(B702,Товары!$A$2:$A$51,0)),""))</f>
        <v/>
      </c>
      <c r="G702" s="2">
        <f>IF(A702="","",YEAR(A702)&amp;"-"&amp;TEXT(MONTH(A702),"00"))</f>
        <v/>
      </c>
    </row>
    <row r="703">
      <c r="A703" s="2" t="n"/>
      <c r="B703" s="2" t="n"/>
      <c r="C703" s="2" t="n"/>
      <c r="D703" s="8">
        <f>IF(B703="","",IFERROR(INDEX(Товары!$F$2:$F$51,MATCH(B703,Товары!$A$2:$A$51,0)),""))</f>
        <v/>
      </c>
      <c r="E703" s="8">
        <f>IF(OR(B703="",D703=""),"",C703*D703)</f>
        <v/>
      </c>
      <c r="F703" s="8">
        <f>IF(B703="","",IFERROR(C703*INDEX(Товары!$J$2:$J$51,MATCH(B703,Товары!$A$2:$A$51,0)),""))</f>
        <v/>
      </c>
      <c r="G703" s="2">
        <f>IF(A703="","",YEAR(A703)&amp;"-"&amp;TEXT(MONTH(A703),"00"))</f>
        <v/>
      </c>
    </row>
    <row r="704">
      <c r="A704" s="2" t="n"/>
      <c r="B704" s="2" t="n"/>
      <c r="C704" s="2" t="n"/>
      <c r="D704" s="8">
        <f>IF(B704="","",IFERROR(INDEX(Товары!$F$2:$F$51,MATCH(B704,Товары!$A$2:$A$51,0)),""))</f>
        <v/>
      </c>
      <c r="E704" s="8">
        <f>IF(OR(B704="",D704=""),"",C704*D704)</f>
        <v/>
      </c>
      <c r="F704" s="8">
        <f>IF(B704="","",IFERROR(C704*INDEX(Товары!$J$2:$J$51,MATCH(B704,Товары!$A$2:$A$51,0)),""))</f>
        <v/>
      </c>
      <c r="G704" s="2">
        <f>IF(A704="","",YEAR(A704)&amp;"-"&amp;TEXT(MONTH(A704),"00"))</f>
        <v/>
      </c>
    </row>
    <row r="705">
      <c r="A705" s="2" t="n"/>
      <c r="B705" s="2" t="n"/>
      <c r="C705" s="2" t="n"/>
      <c r="D705" s="8">
        <f>IF(B705="","",IFERROR(INDEX(Товары!$F$2:$F$51,MATCH(B705,Товары!$A$2:$A$51,0)),""))</f>
        <v/>
      </c>
      <c r="E705" s="8">
        <f>IF(OR(B705="",D705=""),"",C705*D705)</f>
        <v/>
      </c>
      <c r="F705" s="8">
        <f>IF(B705="","",IFERROR(C705*INDEX(Товары!$J$2:$J$51,MATCH(B705,Товары!$A$2:$A$51,0)),""))</f>
        <v/>
      </c>
      <c r="G705" s="2">
        <f>IF(A705="","",YEAR(A705)&amp;"-"&amp;TEXT(MONTH(A705),"00"))</f>
        <v/>
      </c>
    </row>
    <row r="706">
      <c r="A706" s="2" t="n"/>
      <c r="B706" s="2" t="n"/>
      <c r="C706" s="2" t="n"/>
      <c r="D706" s="8">
        <f>IF(B706="","",IFERROR(INDEX(Товары!$F$2:$F$51,MATCH(B706,Товары!$A$2:$A$51,0)),""))</f>
        <v/>
      </c>
      <c r="E706" s="8">
        <f>IF(OR(B706="",D706=""),"",C706*D706)</f>
        <v/>
      </c>
      <c r="F706" s="8">
        <f>IF(B706="","",IFERROR(C706*INDEX(Товары!$J$2:$J$51,MATCH(B706,Товары!$A$2:$A$51,0)),""))</f>
        <v/>
      </c>
      <c r="G706" s="2">
        <f>IF(A706="","",YEAR(A706)&amp;"-"&amp;TEXT(MONTH(A706),"00"))</f>
        <v/>
      </c>
    </row>
    <row r="707">
      <c r="A707" s="2" t="n"/>
      <c r="B707" s="2" t="n"/>
      <c r="C707" s="2" t="n"/>
      <c r="D707" s="8">
        <f>IF(B707="","",IFERROR(INDEX(Товары!$F$2:$F$51,MATCH(B707,Товары!$A$2:$A$51,0)),""))</f>
        <v/>
      </c>
      <c r="E707" s="8">
        <f>IF(OR(B707="",D707=""),"",C707*D707)</f>
        <v/>
      </c>
      <c r="F707" s="8">
        <f>IF(B707="","",IFERROR(C707*INDEX(Товары!$J$2:$J$51,MATCH(B707,Товары!$A$2:$A$51,0)),""))</f>
        <v/>
      </c>
      <c r="G707" s="2">
        <f>IF(A707="","",YEAR(A707)&amp;"-"&amp;TEXT(MONTH(A707),"00"))</f>
        <v/>
      </c>
    </row>
    <row r="708">
      <c r="A708" s="2" t="n"/>
      <c r="B708" s="2" t="n"/>
      <c r="C708" s="2" t="n"/>
      <c r="D708" s="8">
        <f>IF(B708="","",IFERROR(INDEX(Товары!$F$2:$F$51,MATCH(B708,Товары!$A$2:$A$51,0)),""))</f>
        <v/>
      </c>
      <c r="E708" s="8">
        <f>IF(OR(B708="",D708=""),"",C708*D708)</f>
        <v/>
      </c>
      <c r="F708" s="8">
        <f>IF(B708="","",IFERROR(C708*INDEX(Товары!$J$2:$J$51,MATCH(B708,Товары!$A$2:$A$51,0)),""))</f>
        <v/>
      </c>
      <c r="G708" s="2">
        <f>IF(A708="","",YEAR(A708)&amp;"-"&amp;TEXT(MONTH(A708),"00"))</f>
        <v/>
      </c>
    </row>
    <row r="709">
      <c r="A709" s="2" t="n"/>
      <c r="B709" s="2" t="n"/>
      <c r="C709" s="2" t="n"/>
      <c r="D709" s="8">
        <f>IF(B709="","",IFERROR(INDEX(Товары!$F$2:$F$51,MATCH(B709,Товары!$A$2:$A$51,0)),""))</f>
        <v/>
      </c>
      <c r="E709" s="8">
        <f>IF(OR(B709="",D709=""),"",C709*D709)</f>
        <v/>
      </c>
      <c r="F709" s="8">
        <f>IF(B709="","",IFERROR(C709*INDEX(Товары!$J$2:$J$51,MATCH(B709,Товары!$A$2:$A$51,0)),""))</f>
        <v/>
      </c>
      <c r="G709" s="2">
        <f>IF(A709="","",YEAR(A709)&amp;"-"&amp;TEXT(MONTH(A709),"00"))</f>
        <v/>
      </c>
    </row>
    <row r="710">
      <c r="A710" s="2" t="n"/>
      <c r="B710" s="2" t="n"/>
      <c r="C710" s="2" t="n"/>
      <c r="D710" s="8">
        <f>IF(B710="","",IFERROR(INDEX(Товары!$F$2:$F$51,MATCH(B710,Товары!$A$2:$A$51,0)),""))</f>
        <v/>
      </c>
      <c r="E710" s="8">
        <f>IF(OR(B710="",D710=""),"",C710*D710)</f>
        <v/>
      </c>
      <c r="F710" s="8">
        <f>IF(B710="","",IFERROR(C710*INDEX(Товары!$J$2:$J$51,MATCH(B710,Товары!$A$2:$A$51,0)),""))</f>
        <v/>
      </c>
      <c r="G710" s="2">
        <f>IF(A710="","",YEAR(A710)&amp;"-"&amp;TEXT(MONTH(A710),"00"))</f>
        <v/>
      </c>
    </row>
    <row r="711">
      <c r="A711" s="2" t="n"/>
      <c r="B711" s="2" t="n"/>
      <c r="C711" s="2" t="n"/>
      <c r="D711" s="8">
        <f>IF(B711="","",IFERROR(INDEX(Товары!$F$2:$F$51,MATCH(B711,Товары!$A$2:$A$51,0)),""))</f>
        <v/>
      </c>
      <c r="E711" s="8">
        <f>IF(OR(B711="",D711=""),"",C711*D711)</f>
        <v/>
      </c>
      <c r="F711" s="8">
        <f>IF(B711="","",IFERROR(C711*INDEX(Товары!$J$2:$J$51,MATCH(B711,Товары!$A$2:$A$51,0)),""))</f>
        <v/>
      </c>
      <c r="G711" s="2">
        <f>IF(A711="","",YEAR(A711)&amp;"-"&amp;TEXT(MONTH(A711),"00"))</f>
        <v/>
      </c>
    </row>
    <row r="712">
      <c r="A712" s="2" t="n"/>
      <c r="B712" s="2" t="n"/>
      <c r="C712" s="2" t="n"/>
      <c r="D712" s="8">
        <f>IF(B712="","",IFERROR(INDEX(Товары!$F$2:$F$51,MATCH(B712,Товары!$A$2:$A$51,0)),""))</f>
        <v/>
      </c>
      <c r="E712" s="8">
        <f>IF(OR(B712="",D712=""),"",C712*D712)</f>
        <v/>
      </c>
      <c r="F712" s="8">
        <f>IF(B712="","",IFERROR(C712*INDEX(Товары!$J$2:$J$51,MATCH(B712,Товары!$A$2:$A$51,0)),""))</f>
        <v/>
      </c>
      <c r="G712" s="2">
        <f>IF(A712="","",YEAR(A712)&amp;"-"&amp;TEXT(MONTH(A712),"00"))</f>
        <v/>
      </c>
    </row>
    <row r="713">
      <c r="A713" s="2" t="n"/>
      <c r="B713" s="2" t="n"/>
      <c r="C713" s="2" t="n"/>
      <c r="D713" s="8">
        <f>IF(B713="","",IFERROR(INDEX(Товары!$F$2:$F$51,MATCH(B713,Товары!$A$2:$A$51,0)),""))</f>
        <v/>
      </c>
      <c r="E713" s="8">
        <f>IF(OR(B713="",D713=""),"",C713*D713)</f>
        <v/>
      </c>
      <c r="F713" s="8">
        <f>IF(B713="","",IFERROR(C713*INDEX(Товары!$J$2:$J$51,MATCH(B713,Товары!$A$2:$A$51,0)),""))</f>
        <v/>
      </c>
      <c r="G713" s="2">
        <f>IF(A713="","",YEAR(A713)&amp;"-"&amp;TEXT(MONTH(A713),"00"))</f>
        <v/>
      </c>
    </row>
    <row r="714">
      <c r="A714" s="2" t="n"/>
      <c r="B714" s="2" t="n"/>
      <c r="C714" s="2" t="n"/>
      <c r="D714" s="8">
        <f>IF(B714="","",IFERROR(INDEX(Товары!$F$2:$F$51,MATCH(B714,Товары!$A$2:$A$51,0)),""))</f>
        <v/>
      </c>
      <c r="E714" s="8">
        <f>IF(OR(B714="",D714=""),"",C714*D714)</f>
        <v/>
      </c>
      <c r="F714" s="8">
        <f>IF(B714="","",IFERROR(C714*INDEX(Товары!$J$2:$J$51,MATCH(B714,Товары!$A$2:$A$51,0)),""))</f>
        <v/>
      </c>
      <c r="G714" s="2">
        <f>IF(A714="","",YEAR(A714)&amp;"-"&amp;TEXT(MONTH(A714),"00"))</f>
        <v/>
      </c>
    </row>
    <row r="715">
      <c r="A715" s="2" t="n"/>
      <c r="B715" s="2" t="n"/>
      <c r="C715" s="2" t="n"/>
      <c r="D715" s="8">
        <f>IF(B715="","",IFERROR(INDEX(Товары!$F$2:$F$51,MATCH(B715,Товары!$A$2:$A$51,0)),""))</f>
        <v/>
      </c>
      <c r="E715" s="8">
        <f>IF(OR(B715="",D715=""),"",C715*D715)</f>
        <v/>
      </c>
      <c r="F715" s="8">
        <f>IF(B715="","",IFERROR(C715*INDEX(Товары!$J$2:$J$51,MATCH(B715,Товары!$A$2:$A$51,0)),""))</f>
        <v/>
      </c>
      <c r="G715" s="2">
        <f>IF(A715="","",YEAR(A715)&amp;"-"&amp;TEXT(MONTH(A715),"00"))</f>
        <v/>
      </c>
    </row>
    <row r="716">
      <c r="A716" s="2" t="n"/>
      <c r="B716" s="2" t="n"/>
      <c r="C716" s="2" t="n"/>
      <c r="D716" s="8">
        <f>IF(B716="","",IFERROR(INDEX(Товары!$F$2:$F$51,MATCH(B716,Товары!$A$2:$A$51,0)),""))</f>
        <v/>
      </c>
      <c r="E716" s="8">
        <f>IF(OR(B716="",D716=""),"",C716*D716)</f>
        <v/>
      </c>
      <c r="F716" s="8">
        <f>IF(B716="","",IFERROR(C716*INDEX(Товары!$J$2:$J$51,MATCH(B716,Товары!$A$2:$A$51,0)),""))</f>
        <v/>
      </c>
      <c r="G716" s="2">
        <f>IF(A716="","",YEAR(A716)&amp;"-"&amp;TEXT(MONTH(A716),"00"))</f>
        <v/>
      </c>
    </row>
    <row r="717">
      <c r="A717" s="2" t="n"/>
      <c r="B717" s="2" t="n"/>
      <c r="C717" s="2" t="n"/>
      <c r="D717" s="8">
        <f>IF(B717="","",IFERROR(INDEX(Товары!$F$2:$F$51,MATCH(B717,Товары!$A$2:$A$51,0)),""))</f>
        <v/>
      </c>
      <c r="E717" s="8">
        <f>IF(OR(B717="",D717=""),"",C717*D717)</f>
        <v/>
      </c>
      <c r="F717" s="8">
        <f>IF(B717="","",IFERROR(C717*INDEX(Товары!$J$2:$J$51,MATCH(B717,Товары!$A$2:$A$51,0)),""))</f>
        <v/>
      </c>
      <c r="G717" s="2">
        <f>IF(A717="","",YEAR(A717)&amp;"-"&amp;TEXT(MONTH(A717),"00"))</f>
        <v/>
      </c>
    </row>
    <row r="718">
      <c r="A718" s="2" t="n"/>
      <c r="B718" s="2" t="n"/>
      <c r="C718" s="2" t="n"/>
      <c r="D718" s="8">
        <f>IF(B718="","",IFERROR(INDEX(Товары!$F$2:$F$51,MATCH(B718,Товары!$A$2:$A$51,0)),""))</f>
        <v/>
      </c>
      <c r="E718" s="8">
        <f>IF(OR(B718="",D718=""),"",C718*D718)</f>
        <v/>
      </c>
      <c r="F718" s="8">
        <f>IF(B718="","",IFERROR(C718*INDEX(Товары!$J$2:$J$51,MATCH(B718,Товары!$A$2:$A$51,0)),""))</f>
        <v/>
      </c>
      <c r="G718" s="2">
        <f>IF(A718="","",YEAR(A718)&amp;"-"&amp;TEXT(MONTH(A718),"00"))</f>
        <v/>
      </c>
    </row>
    <row r="719">
      <c r="A719" s="2" t="n"/>
      <c r="B719" s="2" t="n"/>
      <c r="C719" s="2" t="n"/>
      <c r="D719" s="8">
        <f>IF(B719="","",IFERROR(INDEX(Товары!$F$2:$F$51,MATCH(B719,Товары!$A$2:$A$51,0)),""))</f>
        <v/>
      </c>
      <c r="E719" s="8">
        <f>IF(OR(B719="",D719=""),"",C719*D719)</f>
        <v/>
      </c>
      <c r="F719" s="8">
        <f>IF(B719="","",IFERROR(C719*INDEX(Товары!$J$2:$J$51,MATCH(B719,Товары!$A$2:$A$51,0)),""))</f>
        <v/>
      </c>
      <c r="G719" s="2">
        <f>IF(A719="","",YEAR(A719)&amp;"-"&amp;TEXT(MONTH(A719),"00"))</f>
        <v/>
      </c>
    </row>
    <row r="720">
      <c r="A720" s="2" t="n"/>
      <c r="B720" s="2" t="n"/>
      <c r="C720" s="2" t="n"/>
      <c r="D720" s="8">
        <f>IF(B720="","",IFERROR(INDEX(Товары!$F$2:$F$51,MATCH(B720,Товары!$A$2:$A$51,0)),""))</f>
        <v/>
      </c>
      <c r="E720" s="8">
        <f>IF(OR(B720="",D720=""),"",C720*D720)</f>
        <v/>
      </c>
      <c r="F720" s="8">
        <f>IF(B720="","",IFERROR(C720*INDEX(Товары!$J$2:$J$51,MATCH(B720,Товары!$A$2:$A$51,0)),""))</f>
        <v/>
      </c>
      <c r="G720" s="2">
        <f>IF(A720="","",YEAR(A720)&amp;"-"&amp;TEXT(MONTH(A720),"00"))</f>
        <v/>
      </c>
    </row>
    <row r="721">
      <c r="A721" s="2" t="n"/>
      <c r="B721" s="2" t="n"/>
      <c r="C721" s="2" t="n"/>
      <c r="D721" s="8">
        <f>IF(B721="","",IFERROR(INDEX(Товары!$F$2:$F$51,MATCH(B721,Товары!$A$2:$A$51,0)),""))</f>
        <v/>
      </c>
      <c r="E721" s="8">
        <f>IF(OR(B721="",D721=""),"",C721*D721)</f>
        <v/>
      </c>
      <c r="F721" s="8">
        <f>IF(B721="","",IFERROR(C721*INDEX(Товары!$J$2:$J$51,MATCH(B721,Товары!$A$2:$A$51,0)),""))</f>
        <v/>
      </c>
      <c r="G721" s="2">
        <f>IF(A721="","",YEAR(A721)&amp;"-"&amp;TEXT(MONTH(A721),"00"))</f>
        <v/>
      </c>
    </row>
    <row r="722">
      <c r="A722" s="2" t="n"/>
      <c r="B722" s="2" t="n"/>
      <c r="C722" s="2" t="n"/>
      <c r="D722" s="8">
        <f>IF(B722="","",IFERROR(INDEX(Товары!$F$2:$F$51,MATCH(B722,Товары!$A$2:$A$51,0)),""))</f>
        <v/>
      </c>
      <c r="E722" s="8">
        <f>IF(OR(B722="",D722=""),"",C722*D722)</f>
        <v/>
      </c>
      <c r="F722" s="8">
        <f>IF(B722="","",IFERROR(C722*INDEX(Товары!$J$2:$J$51,MATCH(B722,Товары!$A$2:$A$51,0)),""))</f>
        <v/>
      </c>
      <c r="G722" s="2">
        <f>IF(A722="","",YEAR(A722)&amp;"-"&amp;TEXT(MONTH(A722),"00"))</f>
        <v/>
      </c>
    </row>
    <row r="723">
      <c r="A723" s="2" t="n"/>
      <c r="B723" s="2" t="n"/>
      <c r="C723" s="2" t="n"/>
      <c r="D723" s="8">
        <f>IF(B723="","",IFERROR(INDEX(Товары!$F$2:$F$51,MATCH(B723,Товары!$A$2:$A$51,0)),""))</f>
        <v/>
      </c>
      <c r="E723" s="8">
        <f>IF(OR(B723="",D723=""),"",C723*D723)</f>
        <v/>
      </c>
      <c r="F723" s="8">
        <f>IF(B723="","",IFERROR(C723*INDEX(Товары!$J$2:$J$51,MATCH(B723,Товары!$A$2:$A$51,0)),""))</f>
        <v/>
      </c>
      <c r="G723" s="2">
        <f>IF(A723="","",YEAR(A723)&amp;"-"&amp;TEXT(MONTH(A723),"00"))</f>
        <v/>
      </c>
    </row>
    <row r="724">
      <c r="A724" s="2" t="n"/>
      <c r="B724" s="2" t="n"/>
      <c r="C724" s="2" t="n"/>
      <c r="D724" s="8">
        <f>IF(B724="","",IFERROR(INDEX(Товары!$F$2:$F$51,MATCH(B724,Товары!$A$2:$A$51,0)),""))</f>
        <v/>
      </c>
      <c r="E724" s="8">
        <f>IF(OR(B724="",D724=""),"",C724*D724)</f>
        <v/>
      </c>
      <c r="F724" s="8">
        <f>IF(B724="","",IFERROR(C724*INDEX(Товары!$J$2:$J$51,MATCH(B724,Товары!$A$2:$A$51,0)),""))</f>
        <v/>
      </c>
      <c r="G724" s="2">
        <f>IF(A724="","",YEAR(A724)&amp;"-"&amp;TEXT(MONTH(A724),"00"))</f>
        <v/>
      </c>
    </row>
    <row r="725">
      <c r="A725" s="2" t="n"/>
      <c r="B725" s="2" t="n"/>
      <c r="C725" s="2" t="n"/>
      <c r="D725" s="8">
        <f>IF(B725="","",IFERROR(INDEX(Товары!$F$2:$F$51,MATCH(B725,Товары!$A$2:$A$51,0)),""))</f>
        <v/>
      </c>
      <c r="E725" s="8">
        <f>IF(OR(B725="",D725=""),"",C725*D725)</f>
        <v/>
      </c>
      <c r="F725" s="8">
        <f>IF(B725="","",IFERROR(C725*INDEX(Товары!$J$2:$J$51,MATCH(B725,Товары!$A$2:$A$51,0)),""))</f>
        <v/>
      </c>
      <c r="G725" s="2">
        <f>IF(A725="","",YEAR(A725)&amp;"-"&amp;TEXT(MONTH(A725),"00"))</f>
        <v/>
      </c>
    </row>
    <row r="726">
      <c r="A726" s="2" t="n"/>
      <c r="B726" s="2" t="n"/>
      <c r="C726" s="2" t="n"/>
      <c r="D726" s="8">
        <f>IF(B726="","",IFERROR(INDEX(Товары!$F$2:$F$51,MATCH(B726,Товары!$A$2:$A$51,0)),""))</f>
        <v/>
      </c>
      <c r="E726" s="8">
        <f>IF(OR(B726="",D726=""),"",C726*D726)</f>
        <v/>
      </c>
      <c r="F726" s="8">
        <f>IF(B726="","",IFERROR(C726*INDEX(Товары!$J$2:$J$51,MATCH(B726,Товары!$A$2:$A$51,0)),""))</f>
        <v/>
      </c>
      <c r="G726" s="2">
        <f>IF(A726="","",YEAR(A726)&amp;"-"&amp;TEXT(MONTH(A726),"00"))</f>
        <v/>
      </c>
    </row>
    <row r="727">
      <c r="A727" s="2" t="n"/>
      <c r="B727" s="2" t="n"/>
      <c r="C727" s="2" t="n"/>
      <c r="D727" s="8">
        <f>IF(B727="","",IFERROR(INDEX(Товары!$F$2:$F$51,MATCH(B727,Товары!$A$2:$A$51,0)),""))</f>
        <v/>
      </c>
      <c r="E727" s="8">
        <f>IF(OR(B727="",D727=""),"",C727*D727)</f>
        <v/>
      </c>
      <c r="F727" s="8">
        <f>IF(B727="","",IFERROR(C727*INDEX(Товары!$J$2:$J$51,MATCH(B727,Товары!$A$2:$A$51,0)),""))</f>
        <v/>
      </c>
      <c r="G727" s="2">
        <f>IF(A727="","",YEAR(A727)&amp;"-"&amp;TEXT(MONTH(A727),"00"))</f>
        <v/>
      </c>
    </row>
    <row r="728">
      <c r="A728" s="2" t="n"/>
      <c r="B728" s="2" t="n"/>
      <c r="C728" s="2" t="n"/>
      <c r="D728" s="8">
        <f>IF(B728="","",IFERROR(INDEX(Товары!$F$2:$F$51,MATCH(B728,Товары!$A$2:$A$51,0)),""))</f>
        <v/>
      </c>
      <c r="E728" s="8">
        <f>IF(OR(B728="",D728=""),"",C728*D728)</f>
        <v/>
      </c>
      <c r="F728" s="8">
        <f>IF(B728="","",IFERROR(C728*INDEX(Товары!$J$2:$J$51,MATCH(B728,Товары!$A$2:$A$51,0)),""))</f>
        <v/>
      </c>
      <c r="G728" s="2">
        <f>IF(A728="","",YEAR(A728)&amp;"-"&amp;TEXT(MONTH(A728),"00"))</f>
        <v/>
      </c>
    </row>
    <row r="729">
      <c r="A729" s="2" t="n"/>
      <c r="B729" s="2" t="n"/>
      <c r="C729" s="2" t="n"/>
      <c r="D729" s="8">
        <f>IF(B729="","",IFERROR(INDEX(Товары!$F$2:$F$51,MATCH(B729,Товары!$A$2:$A$51,0)),""))</f>
        <v/>
      </c>
      <c r="E729" s="8">
        <f>IF(OR(B729="",D729=""),"",C729*D729)</f>
        <v/>
      </c>
      <c r="F729" s="8">
        <f>IF(B729="","",IFERROR(C729*INDEX(Товары!$J$2:$J$51,MATCH(B729,Товары!$A$2:$A$51,0)),""))</f>
        <v/>
      </c>
      <c r="G729" s="2">
        <f>IF(A729="","",YEAR(A729)&amp;"-"&amp;TEXT(MONTH(A729),"00"))</f>
        <v/>
      </c>
    </row>
    <row r="730">
      <c r="A730" s="2" t="n"/>
      <c r="B730" s="2" t="n"/>
      <c r="C730" s="2" t="n"/>
      <c r="D730" s="8">
        <f>IF(B730="","",IFERROR(INDEX(Товары!$F$2:$F$51,MATCH(B730,Товары!$A$2:$A$51,0)),""))</f>
        <v/>
      </c>
      <c r="E730" s="8">
        <f>IF(OR(B730="",D730=""),"",C730*D730)</f>
        <v/>
      </c>
      <c r="F730" s="8">
        <f>IF(B730="","",IFERROR(C730*INDEX(Товары!$J$2:$J$51,MATCH(B730,Товары!$A$2:$A$51,0)),""))</f>
        <v/>
      </c>
      <c r="G730" s="2">
        <f>IF(A730="","",YEAR(A730)&amp;"-"&amp;TEXT(MONTH(A730),"00"))</f>
        <v/>
      </c>
    </row>
    <row r="731">
      <c r="A731" s="2" t="n"/>
      <c r="B731" s="2" t="n"/>
      <c r="C731" s="2" t="n"/>
      <c r="D731" s="8">
        <f>IF(B731="","",IFERROR(INDEX(Товары!$F$2:$F$51,MATCH(B731,Товары!$A$2:$A$51,0)),""))</f>
        <v/>
      </c>
      <c r="E731" s="8">
        <f>IF(OR(B731="",D731=""),"",C731*D731)</f>
        <v/>
      </c>
      <c r="F731" s="8">
        <f>IF(B731="","",IFERROR(C731*INDEX(Товары!$J$2:$J$51,MATCH(B731,Товары!$A$2:$A$51,0)),""))</f>
        <v/>
      </c>
      <c r="G731" s="2">
        <f>IF(A731="","",YEAR(A731)&amp;"-"&amp;TEXT(MONTH(A731),"00"))</f>
        <v/>
      </c>
    </row>
    <row r="732">
      <c r="A732" s="2" t="n"/>
      <c r="B732" s="2" t="n"/>
      <c r="C732" s="2" t="n"/>
      <c r="D732" s="8">
        <f>IF(B732="","",IFERROR(INDEX(Товары!$F$2:$F$51,MATCH(B732,Товары!$A$2:$A$51,0)),""))</f>
        <v/>
      </c>
      <c r="E732" s="8">
        <f>IF(OR(B732="",D732=""),"",C732*D732)</f>
        <v/>
      </c>
      <c r="F732" s="8">
        <f>IF(B732="","",IFERROR(C732*INDEX(Товары!$J$2:$J$51,MATCH(B732,Товары!$A$2:$A$51,0)),""))</f>
        <v/>
      </c>
      <c r="G732" s="2">
        <f>IF(A732="","",YEAR(A732)&amp;"-"&amp;TEXT(MONTH(A732),"00"))</f>
        <v/>
      </c>
    </row>
    <row r="733">
      <c r="A733" s="2" t="n"/>
      <c r="B733" s="2" t="n"/>
      <c r="C733" s="2" t="n"/>
      <c r="D733" s="8">
        <f>IF(B733="","",IFERROR(INDEX(Товары!$F$2:$F$51,MATCH(B733,Товары!$A$2:$A$51,0)),""))</f>
        <v/>
      </c>
      <c r="E733" s="8">
        <f>IF(OR(B733="",D733=""),"",C733*D733)</f>
        <v/>
      </c>
      <c r="F733" s="8">
        <f>IF(B733="","",IFERROR(C733*INDEX(Товары!$J$2:$J$51,MATCH(B733,Товары!$A$2:$A$51,0)),""))</f>
        <v/>
      </c>
      <c r="G733" s="2">
        <f>IF(A733="","",YEAR(A733)&amp;"-"&amp;TEXT(MONTH(A733),"00"))</f>
        <v/>
      </c>
    </row>
    <row r="734">
      <c r="A734" s="2" t="n"/>
      <c r="B734" s="2" t="n"/>
      <c r="C734" s="2" t="n"/>
      <c r="D734" s="8">
        <f>IF(B734="","",IFERROR(INDEX(Товары!$F$2:$F$51,MATCH(B734,Товары!$A$2:$A$51,0)),""))</f>
        <v/>
      </c>
      <c r="E734" s="8">
        <f>IF(OR(B734="",D734=""),"",C734*D734)</f>
        <v/>
      </c>
      <c r="F734" s="8">
        <f>IF(B734="","",IFERROR(C734*INDEX(Товары!$J$2:$J$51,MATCH(B734,Товары!$A$2:$A$51,0)),""))</f>
        <v/>
      </c>
      <c r="G734" s="2">
        <f>IF(A734="","",YEAR(A734)&amp;"-"&amp;TEXT(MONTH(A734),"00"))</f>
        <v/>
      </c>
    </row>
    <row r="735">
      <c r="A735" s="2" t="n"/>
      <c r="B735" s="2" t="n"/>
      <c r="C735" s="2" t="n"/>
      <c r="D735" s="8">
        <f>IF(B735="","",IFERROR(INDEX(Товары!$F$2:$F$51,MATCH(B735,Товары!$A$2:$A$51,0)),""))</f>
        <v/>
      </c>
      <c r="E735" s="8">
        <f>IF(OR(B735="",D735=""),"",C735*D735)</f>
        <v/>
      </c>
      <c r="F735" s="8">
        <f>IF(B735="","",IFERROR(C735*INDEX(Товары!$J$2:$J$51,MATCH(B735,Товары!$A$2:$A$51,0)),""))</f>
        <v/>
      </c>
      <c r="G735" s="2">
        <f>IF(A735="","",YEAR(A735)&amp;"-"&amp;TEXT(MONTH(A735),"00"))</f>
        <v/>
      </c>
    </row>
    <row r="736">
      <c r="A736" s="2" t="n"/>
      <c r="B736" s="2" t="n"/>
      <c r="C736" s="2" t="n"/>
      <c r="D736" s="8">
        <f>IF(B736="","",IFERROR(INDEX(Товары!$F$2:$F$51,MATCH(B736,Товары!$A$2:$A$51,0)),""))</f>
        <v/>
      </c>
      <c r="E736" s="8">
        <f>IF(OR(B736="",D736=""),"",C736*D736)</f>
        <v/>
      </c>
      <c r="F736" s="8">
        <f>IF(B736="","",IFERROR(C736*INDEX(Товары!$J$2:$J$51,MATCH(B736,Товары!$A$2:$A$51,0)),""))</f>
        <v/>
      </c>
      <c r="G736" s="2">
        <f>IF(A736="","",YEAR(A736)&amp;"-"&amp;TEXT(MONTH(A736),"00"))</f>
        <v/>
      </c>
    </row>
    <row r="737">
      <c r="A737" s="2" t="n"/>
      <c r="B737" s="2" t="n"/>
      <c r="C737" s="2" t="n"/>
      <c r="D737" s="8">
        <f>IF(B737="","",IFERROR(INDEX(Товары!$F$2:$F$51,MATCH(B737,Товары!$A$2:$A$51,0)),""))</f>
        <v/>
      </c>
      <c r="E737" s="8">
        <f>IF(OR(B737="",D737=""),"",C737*D737)</f>
        <v/>
      </c>
      <c r="F737" s="8">
        <f>IF(B737="","",IFERROR(C737*INDEX(Товары!$J$2:$J$51,MATCH(B737,Товары!$A$2:$A$51,0)),""))</f>
        <v/>
      </c>
      <c r="G737" s="2">
        <f>IF(A737="","",YEAR(A737)&amp;"-"&amp;TEXT(MONTH(A737),"00"))</f>
        <v/>
      </c>
    </row>
    <row r="738">
      <c r="A738" s="2" t="n"/>
      <c r="B738" s="2" t="n"/>
      <c r="C738" s="2" t="n"/>
      <c r="D738" s="8">
        <f>IF(B738="","",IFERROR(INDEX(Товары!$F$2:$F$51,MATCH(B738,Товары!$A$2:$A$51,0)),""))</f>
        <v/>
      </c>
      <c r="E738" s="8">
        <f>IF(OR(B738="",D738=""),"",C738*D738)</f>
        <v/>
      </c>
      <c r="F738" s="8">
        <f>IF(B738="","",IFERROR(C738*INDEX(Товары!$J$2:$J$51,MATCH(B738,Товары!$A$2:$A$51,0)),""))</f>
        <v/>
      </c>
      <c r="G738" s="2">
        <f>IF(A738="","",YEAR(A738)&amp;"-"&amp;TEXT(MONTH(A738),"00"))</f>
        <v/>
      </c>
    </row>
    <row r="739">
      <c r="A739" s="2" t="n"/>
      <c r="B739" s="2" t="n"/>
      <c r="C739" s="2" t="n"/>
      <c r="D739" s="8">
        <f>IF(B739="","",IFERROR(INDEX(Товары!$F$2:$F$51,MATCH(B739,Товары!$A$2:$A$51,0)),""))</f>
        <v/>
      </c>
      <c r="E739" s="8">
        <f>IF(OR(B739="",D739=""),"",C739*D739)</f>
        <v/>
      </c>
      <c r="F739" s="8">
        <f>IF(B739="","",IFERROR(C739*INDEX(Товары!$J$2:$J$51,MATCH(B739,Товары!$A$2:$A$51,0)),""))</f>
        <v/>
      </c>
      <c r="G739" s="2">
        <f>IF(A739="","",YEAR(A739)&amp;"-"&amp;TEXT(MONTH(A739),"00"))</f>
        <v/>
      </c>
    </row>
    <row r="740">
      <c r="A740" s="2" t="n"/>
      <c r="B740" s="2" t="n"/>
      <c r="C740" s="2" t="n"/>
      <c r="D740" s="8">
        <f>IF(B740="","",IFERROR(INDEX(Товары!$F$2:$F$51,MATCH(B740,Товары!$A$2:$A$51,0)),""))</f>
        <v/>
      </c>
      <c r="E740" s="8">
        <f>IF(OR(B740="",D740=""),"",C740*D740)</f>
        <v/>
      </c>
      <c r="F740" s="8">
        <f>IF(B740="","",IFERROR(C740*INDEX(Товары!$J$2:$J$51,MATCH(B740,Товары!$A$2:$A$51,0)),""))</f>
        <v/>
      </c>
      <c r="G740" s="2">
        <f>IF(A740="","",YEAR(A740)&amp;"-"&amp;TEXT(MONTH(A740),"00"))</f>
        <v/>
      </c>
    </row>
    <row r="741">
      <c r="A741" s="2" t="n"/>
      <c r="B741" s="2" t="n"/>
      <c r="C741" s="2" t="n"/>
      <c r="D741" s="8">
        <f>IF(B741="","",IFERROR(INDEX(Товары!$F$2:$F$51,MATCH(B741,Товары!$A$2:$A$51,0)),""))</f>
        <v/>
      </c>
      <c r="E741" s="8">
        <f>IF(OR(B741="",D741=""),"",C741*D741)</f>
        <v/>
      </c>
      <c r="F741" s="8">
        <f>IF(B741="","",IFERROR(C741*INDEX(Товары!$J$2:$J$51,MATCH(B741,Товары!$A$2:$A$51,0)),""))</f>
        <v/>
      </c>
      <c r="G741" s="2">
        <f>IF(A741="","",YEAR(A741)&amp;"-"&amp;TEXT(MONTH(A741),"00"))</f>
        <v/>
      </c>
    </row>
    <row r="742">
      <c r="A742" s="2" t="n"/>
      <c r="B742" s="2" t="n"/>
      <c r="C742" s="2" t="n"/>
      <c r="D742" s="8">
        <f>IF(B742="","",IFERROR(INDEX(Товары!$F$2:$F$51,MATCH(B742,Товары!$A$2:$A$51,0)),""))</f>
        <v/>
      </c>
      <c r="E742" s="8">
        <f>IF(OR(B742="",D742=""),"",C742*D742)</f>
        <v/>
      </c>
      <c r="F742" s="8">
        <f>IF(B742="","",IFERROR(C742*INDEX(Товары!$J$2:$J$51,MATCH(B742,Товары!$A$2:$A$51,0)),""))</f>
        <v/>
      </c>
      <c r="G742" s="2">
        <f>IF(A742="","",YEAR(A742)&amp;"-"&amp;TEXT(MONTH(A742),"00"))</f>
        <v/>
      </c>
    </row>
    <row r="743">
      <c r="A743" s="2" t="n"/>
      <c r="B743" s="2" t="n"/>
      <c r="C743" s="2" t="n"/>
      <c r="D743" s="8">
        <f>IF(B743="","",IFERROR(INDEX(Товары!$F$2:$F$51,MATCH(B743,Товары!$A$2:$A$51,0)),""))</f>
        <v/>
      </c>
      <c r="E743" s="8">
        <f>IF(OR(B743="",D743=""),"",C743*D743)</f>
        <v/>
      </c>
      <c r="F743" s="8">
        <f>IF(B743="","",IFERROR(C743*INDEX(Товары!$J$2:$J$51,MATCH(B743,Товары!$A$2:$A$51,0)),""))</f>
        <v/>
      </c>
      <c r="G743" s="2">
        <f>IF(A743="","",YEAR(A743)&amp;"-"&amp;TEXT(MONTH(A743),"00"))</f>
        <v/>
      </c>
    </row>
    <row r="744">
      <c r="A744" s="2" t="n"/>
      <c r="B744" s="2" t="n"/>
      <c r="C744" s="2" t="n"/>
      <c r="D744" s="8">
        <f>IF(B744="","",IFERROR(INDEX(Товары!$F$2:$F$51,MATCH(B744,Товары!$A$2:$A$51,0)),""))</f>
        <v/>
      </c>
      <c r="E744" s="8">
        <f>IF(OR(B744="",D744=""),"",C744*D744)</f>
        <v/>
      </c>
      <c r="F744" s="8">
        <f>IF(B744="","",IFERROR(C744*INDEX(Товары!$J$2:$J$51,MATCH(B744,Товары!$A$2:$A$51,0)),""))</f>
        <v/>
      </c>
      <c r="G744" s="2">
        <f>IF(A744="","",YEAR(A744)&amp;"-"&amp;TEXT(MONTH(A744),"00"))</f>
        <v/>
      </c>
    </row>
    <row r="745">
      <c r="A745" s="2" t="n"/>
      <c r="B745" s="2" t="n"/>
      <c r="C745" s="2" t="n"/>
      <c r="D745" s="8">
        <f>IF(B745="","",IFERROR(INDEX(Товары!$F$2:$F$51,MATCH(B745,Товары!$A$2:$A$51,0)),""))</f>
        <v/>
      </c>
      <c r="E745" s="8">
        <f>IF(OR(B745="",D745=""),"",C745*D745)</f>
        <v/>
      </c>
      <c r="F745" s="8">
        <f>IF(B745="","",IFERROR(C745*INDEX(Товары!$J$2:$J$51,MATCH(B745,Товары!$A$2:$A$51,0)),""))</f>
        <v/>
      </c>
      <c r="G745" s="2">
        <f>IF(A745="","",YEAR(A745)&amp;"-"&amp;TEXT(MONTH(A745),"00"))</f>
        <v/>
      </c>
    </row>
    <row r="746">
      <c r="A746" s="2" t="n"/>
      <c r="B746" s="2" t="n"/>
      <c r="C746" s="2" t="n"/>
      <c r="D746" s="8">
        <f>IF(B746="","",IFERROR(INDEX(Товары!$F$2:$F$51,MATCH(B746,Товары!$A$2:$A$51,0)),""))</f>
        <v/>
      </c>
      <c r="E746" s="8">
        <f>IF(OR(B746="",D746=""),"",C746*D746)</f>
        <v/>
      </c>
      <c r="F746" s="8">
        <f>IF(B746="","",IFERROR(C746*INDEX(Товары!$J$2:$J$51,MATCH(B746,Товары!$A$2:$A$51,0)),""))</f>
        <v/>
      </c>
      <c r="G746" s="2">
        <f>IF(A746="","",YEAR(A746)&amp;"-"&amp;TEXT(MONTH(A746),"00"))</f>
        <v/>
      </c>
    </row>
    <row r="747">
      <c r="A747" s="2" t="n"/>
      <c r="B747" s="2" t="n"/>
      <c r="C747" s="2" t="n"/>
      <c r="D747" s="8">
        <f>IF(B747="","",IFERROR(INDEX(Товары!$F$2:$F$51,MATCH(B747,Товары!$A$2:$A$51,0)),""))</f>
        <v/>
      </c>
      <c r="E747" s="8">
        <f>IF(OR(B747="",D747=""),"",C747*D747)</f>
        <v/>
      </c>
      <c r="F747" s="8">
        <f>IF(B747="","",IFERROR(C747*INDEX(Товары!$J$2:$J$51,MATCH(B747,Товары!$A$2:$A$51,0)),""))</f>
        <v/>
      </c>
      <c r="G747" s="2">
        <f>IF(A747="","",YEAR(A747)&amp;"-"&amp;TEXT(MONTH(A747),"00"))</f>
        <v/>
      </c>
    </row>
    <row r="748">
      <c r="A748" s="2" t="n"/>
      <c r="B748" s="2" t="n"/>
      <c r="C748" s="2" t="n"/>
      <c r="D748" s="8">
        <f>IF(B748="","",IFERROR(INDEX(Товары!$F$2:$F$51,MATCH(B748,Товары!$A$2:$A$51,0)),""))</f>
        <v/>
      </c>
      <c r="E748" s="8">
        <f>IF(OR(B748="",D748=""),"",C748*D748)</f>
        <v/>
      </c>
      <c r="F748" s="8">
        <f>IF(B748="","",IFERROR(C748*INDEX(Товары!$J$2:$J$51,MATCH(B748,Товары!$A$2:$A$51,0)),""))</f>
        <v/>
      </c>
      <c r="G748" s="2">
        <f>IF(A748="","",YEAR(A748)&amp;"-"&amp;TEXT(MONTH(A748),"00"))</f>
        <v/>
      </c>
    </row>
    <row r="749">
      <c r="A749" s="2" t="n"/>
      <c r="B749" s="2" t="n"/>
      <c r="C749" s="2" t="n"/>
      <c r="D749" s="8">
        <f>IF(B749="","",IFERROR(INDEX(Товары!$F$2:$F$51,MATCH(B749,Товары!$A$2:$A$51,0)),""))</f>
        <v/>
      </c>
      <c r="E749" s="8">
        <f>IF(OR(B749="",D749=""),"",C749*D749)</f>
        <v/>
      </c>
      <c r="F749" s="8">
        <f>IF(B749="","",IFERROR(C749*INDEX(Товары!$J$2:$J$51,MATCH(B749,Товары!$A$2:$A$51,0)),""))</f>
        <v/>
      </c>
      <c r="G749" s="2">
        <f>IF(A749="","",YEAR(A749)&amp;"-"&amp;TEXT(MONTH(A749),"00"))</f>
        <v/>
      </c>
    </row>
    <row r="750">
      <c r="A750" s="2" t="n"/>
      <c r="B750" s="2" t="n"/>
      <c r="C750" s="2" t="n"/>
      <c r="D750" s="8">
        <f>IF(B750="","",IFERROR(INDEX(Товары!$F$2:$F$51,MATCH(B750,Товары!$A$2:$A$51,0)),""))</f>
        <v/>
      </c>
      <c r="E750" s="8">
        <f>IF(OR(B750="",D750=""),"",C750*D750)</f>
        <v/>
      </c>
      <c r="F750" s="8">
        <f>IF(B750="","",IFERROR(C750*INDEX(Товары!$J$2:$J$51,MATCH(B750,Товары!$A$2:$A$51,0)),""))</f>
        <v/>
      </c>
      <c r="G750" s="2">
        <f>IF(A750="","",YEAR(A750)&amp;"-"&amp;TEXT(MONTH(A750),"00"))</f>
        <v/>
      </c>
    </row>
    <row r="751">
      <c r="A751" s="2" t="n"/>
      <c r="B751" s="2" t="n"/>
      <c r="C751" s="2" t="n"/>
      <c r="D751" s="8">
        <f>IF(B751="","",IFERROR(INDEX(Товары!$F$2:$F$51,MATCH(B751,Товары!$A$2:$A$51,0)),""))</f>
        <v/>
      </c>
      <c r="E751" s="8">
        <f>IF(OR(B751="",D751=""),"",C751*D751)</f>
        <v/>
      </c>
      <c r="F751" s="8">
        <f>IF(B751="","",IFERROR(C751*INDEX(Товары!$J$2:$J$51,MATCH(B751,Товары!$A$2:$A$51,0)),""))</f>
        <v/>
      </c>
      <c r="G751" s="2">
        <f>IF(A751="","",YEAR(A751)&amp;"-"&amp;TEXT(MONTH(A751),"00"))</f>
        <v/>
      </c>
    </row>
    <row r="752">
      <c r="A752" s="2" t="n"/>
      <c r="B752" s="2" t="n"/>
      <c r="C752" s="2" t="n"/>
      <c r="D752" s="8">
        <f>IF(B752="","",IFERROR(INDEX(Товары!$F$2:$F$51,MATCH(B752,Товары!$A$2:$A$51,0)),""))</f>
        <v/>
      </c>
      <c r="E752" s="8">
        <f>IF(OR(B752="",D752=""),"",C752*D752)</f>
        <v/>
      </c>
      <c r="F752" s="8">
        <f>IF(B752="","",IFERROR(C752*INDEX(Товары!$J$2:$J$51,MATCH(B752,Товары!$A$2:$A$51,0)),""))</f>
        <v/>
      </c>
      <c r="G752" s="2">
        <f>IF(A752="","",YEAR(A752)&amp;"-"&amp;TEXT(MONTH(A752),"00"))</f>
        <v/>
      </c>
    </row>
    <row r="753">
      <c r="A753" s="2" t="n"/>
      <c r="B753" s="2" t="n"/>
      <c r="C753" s="2" t="n"/>
      <c r="D753" s="8">
        <f>IF(B753="","",IFERROR(INDEX(Товары!$F$2:$F$51,MATCH(B753,Товары!$A$2:$A$51,0)),""))</f>
        <v/>
      </c>
      <c r="E753" s="8">
        <f>IF(OR(B753="",D753=""),"",C753*D753)</f>
        <v/>
      </c>
      <c r="F753" s="8">
        <f>IF(B753="","",IFERROR(C753*INDEX(Товары!$J$2:$J$51,MATCH(B753,Товары!$A$2:$A$51,0)),""))</f>
        <v/>
      </c>
      <c r="G753" s="2">
        <f>IF(A753="","",YEAR(A753)&amp;"-"&amp;TEXT(MONTH(A753),"00"))</f>
        <v/>
      </c>
    </row>
    <row r="754">
      <c r="A754" s="2" t="n"/>
      <c r="B754" s="2" t="n"/>
      <c r="C754" s="2" t="n"/>
      <c r="D754" s="8">
        <f>IF(B754="","",IFERROR(INDEX(Товары!$F$2:$F$51,MATCH(B754,Товары!$A$2:$A$51,0)),""))</f>
        <v/>
      </c>
      <c r="E754" s="8">
        <f>IF(OR(B754="",D754=""),"",C754*D754)</f>
        <v/>
      </c>
      <c r="F754" s="8">
        <f>IF(B754="","",IFERROR(C754*INDEX(Товары!$J$2:$J$51,MATCH(B754,Товары!$A$2:$A$51,0)),""))</f>
        <v/>
      </c>
      <c r="G754" s="2">
        <f>IF(A754="","",YEAR(A754)&amp;"-"&amp;TEXT(MONTH(A754),"00"))</f>
        <v/>
      </c>
    </row>
    <row r="755">
      <c r="A755" s="2" t="n"/>
      <c r="B755" s="2" t="n"/>
      <c r="C755" s="2" t="n"/>
      <c r="D755" s="8">
        <f>IF(B755="","",IFERROR(INDEX(Товары!$F$2:$F$51,MATCH(B755,Товары!$A$2:$A$51,0)),""))</f>
        <v/>
      </c>
      <c r="E755" s="8">
        <f>IF(OR(B755="",D755=""),"",C755*D755)</f>
        <v/>
      </c>
      <c r="F755" s="8">
        <f>IF(B755="","",IFERROR(C755*INDEX(Товары!$J$2:$J$51,MATCH(B755,Товары!$A$2:$A$51,0)),""))</f>
        <v/>
      </c>
      <c r="G755" s="2">
        <f>IF(A755="","",YEAR(A755)&amp;"-"&amp;TEXT(MONTH(A755),"00"))</f>
        <v/>
      </c>
    </row>
    <row r="756">
      <c r="A756" s="2" t="n"/>
      <c r="B756" s="2" t="n"/>
      <c r="C756" s="2" t="n"/>
      <c r="D756" s="8">
        <f>IF(B756="","",IFERROR(INDEX(Товары!$F$2:$F$51,MATCH(B756,Товары!$A$2:$A$51,0)),""))</f>
        <v/>
      </c>
      <c r="E756" s="8">
        <f>IF(OR(B756="",D756=""),"",C756*D756)</f>
        <v/>
      </c>
      <c r="F756" s="8">
        <f>IF(B756="","",IFERROR(C756*INDEX(Товары!$J$2:$J$51,MATCH(B756,Товары!$A$2:$A$51,0)),""))</f>
        <v/>
      </c>
      <c r="G756" s="2">
        <f>IF(A756="","",YEAR(A756)&amp;"-"&amp;TEXT(MONTH(A756),"00"))</f>
        <v/>
      </c>
    </row>
    <row r="757">
      <c r="A757" s="2" t="n"/>
      <c r="B757" s="2" t="n"/>
      <c r="C757" s="2" t="n"/>
      <c r="D757" s="8">
        <f>IF(B757="","",IFERROR(INDEX(Товары!$F$2:$F$51,MATCH(B757,Товары!$A$2:$A$51,0)),""))</f>
        <v/>
      </c>
      <c r="E757" s="8">
        <f>IF(OR(B757="",D757=""),"",C757*D757)</f>
        <v/>
      </c>
      <c r="F757" s="8">
        <f>IF(B757="","",IFERROR(C757*INDEX(Товары!$J$2:$J$51,MATCH(B757,Товары!$A$2:$A$51,0)),""))</f>
        <v/>
      </c>
      <c r="G757" s="2">
        <f>IF(A757="","",YEAR(A757)&amp;"-"&amp;TEXT(MONTH(A757),"00"))</f>
        <v/>
      </c>
    </row>
    <row r="758">
      <c r="A758" s="2" t="n"/>
      <c r="B758" s="2" t="n"/>
      <c r="C758" s="2" t="n"/>
      <c r="D758" s="8">
        <f>IF(B758="","",IFERROR(INDEX(Товары!$F$2:$F$51,MATCH(B758,Товары!$A$2:$A$51,0)),""))</f>
        <v/>
      </c>
      <c r="E758" s="8">
        <f>IF(OR(B758="",D758=""),"",C758*D758)</f>
        <v/>
      </c>
      <c r="F758" s="8">
        <f>IF(B758="","",IFERROR(C758*INDEX(Товары!$J$2:$J$51,MATCH(B758,Товары!$A$2:$A$51,0)),""))</f>
        <v/>
      </c>
      <c r="G758" s="2">
        <f>IF(A758="","",YEAR(A758)&amp;"-"&amp;TEXT(MONTH(A758),"00"))</f>
        <v/>
      </c>
    </row>
    <row r="759">
      <c r="A759" s="2" t="n"/>
      <c r="B759" s="2" t="n"/>
      <c r="C759" s="2" t="n"/>
      <c r="D759" s="8">
        <f>IF(B759="","",IFERROR(INDEX(Товары!$F$2:$F$51,MATCH(B759,Товары!$A$2:$A$51,0)),""))</f>
        <v/>
      </c>
      <c r="E759" s="8">
        <f>IF(OR(B759="",D759=""),"",C759*D759)</f>
        <v/>
      </c>
      <c r="F759" s="8">
        <f>IF(B759="","",IFERROR(C759*INDEX(Товары!$J$2:$J$51,MATCH(B759,Товары!$A$2:$A$51,0)),""))</f>
        <v/>
      </c>
      <c r="G759" s="2">
        <f>IF(A759="","",YEAR(A759)&amp;"-"&amp;TEXT(MONTH(A759),"00"))</f>
        <v/>
      </c>
    </row>
    <row r="760">
      <c r="A760" s="2" t="n"/>
      <c r="B760" s="2" t="n"/>
      <c r="C760" s="2" t="n"/>
      <c r="D760" s="8">
        <f>IF(B760="","",IFERROR(INDEX(Товары!$F$2:$F$51,MATCH(B760,Товары!$A$2:$A$51,0)),""))</f>
        <v/>
      </c>
      <c r="E760" s="8">
        <f>IF(OR(B760="",D760=""),"",C760*D760)</f>
        <v/>
      </c>
      <c r="F760" s="8">
        <f>IF(B760="","",IFERROR(C760*INDEX(Товары!$J$2:$J$51,MATCH(B760,Товары!$A$2:$A$51,0)),""))</f>
        <v/>
      </c>
      <c r="G760" s="2">
        <f>IF(A760="","",YEAR(A760)&amp;"-"&amp;TEXT(MONTH(A760),"00"))</f>
        <v/>
      </c>
    </row>
    <row r="761">
      <c r="A761" s="2" t="n"/>
      <c r="B761" s="2" t="n"/>
      <c r="C761" s="2" t="n"/>
      <c r="D761" s="8">
        <f>IF(B761="","",IFERROR(INDEX(Товары!$F$2:$F$51,MATCH(B761,Товары!$A$2:$A$51,0)),""))</f>
        <v/>
      </c>
      <c r="E761" s="8">
        <f>IF(OR(B761="",D761=""),"",C761*D761)</f>
        <v/>
      </c>
      <c r="F761" s="8">
        <f>IF(B761="","",IFERROR(C761*INDEX(Товары!$J$2:$J$51,MATCH(B761,Товары!$A$2:$A$51,0)),""))</f>
        <v/>
      </c>
      <c r="G761" s="2">
        <f>IF(A761="","",YEAR(A761)&amp;"-"&amp;TEXT(MONTH(A761),"00"))</f>
        <v/>
      </c>
    </row>
    <row r="762">
      <c r="A762" s="2" t="n"/>
      <c r="B762" s="2" t="n"/>
      <c r="C762" s="2" t="n"/>
      <c r="D762" s="8">
        <f>IF(B762="","",IFERROR(INDEX(Товары!$F$2:$F$51,MATCH(B762,Товары!$A$2:$A$51,0)),""))</f>
        <v/>
      </c>
      <c r="E762" s="8">
        <f>IF(OR(B762="",D762=""),"",C762*D762)</f>
        <v/>
      </c>
      <c r="F762" s="8">
        <f>IF(B762="","",IFERROR(C762*INDEX(Товары!$J$2:$J$51,MATCH(B762,Товары!$A$2:$A$51,0)),""))</f>
        <v/>
      </c>
      <c r="G762" s="2">
        <f>IF(A762="","",YEAR(A762)&amp;"-"&amp;TEXT(MONTH(A762),"00"))</f>
        <v/>
      </c>
    </row>
    <row r="763">
      <c r="A763" s="2" t="n"/>
      <c r="B763" s="2" t="n"/>
      <c r="C763" s="2" t="n"/>
      <c r="D763" s="8">
        <f>IF(B763="","",IFERROR(INDEX(Товары!$F$2:$F$51,MATCH(B763,Товары!$A$2:$A$51,0)),""))</f>
        <v/>
      </c>
      <c r="E763" s="8">
        <f>IF(OR(B763="",D763=""),"",C763*D763)</f>
        <v/>
      </c>
      <c r="F763" s="8">
        <f>IF(B763="","",IFERROR(C763*INDEX(Товары!$J$2:$J$51,MATCH(B763,Товары!$A$2:$A$51,0)),""))</f>
        <v/>
      </c>
      <c r="G763" s="2">
        <f>IF(A763="","",YEAR(A763)&amp;"-"&amp;TEXT(MONTH(A763),"00"))</f>
        <v/>
      </c>
    </row>
    <row r="764">
      <c r="A764" s="2" t="n"/>
      <c r="B764" s="2" t="n"/>
      <c r="C764" s="2" t="n"/>
      <c r="D764" s="8">
        <f>IF(B764="","",IFERROR(INDEX(Товары!$F$2:$F$51,MATCH(B764,Товары!$A$2:$A$51,0)),""))</f>
        <v/>
      </c>
      <c r="E764" s="8">
        <f>IF(OR(B764="",D764=""),"",C764*D764)</f>
        <v/>
      </c>
      <c r="F764" s="8">
        <f>IF(B764="","",IFERROR(C764*INDEX(Товары!$J$2:$J$51,MATCH(B764,Товары!$A$2:$A$51,0)),""))</f>
        <v/>
      </c>
      <c r="G764" s="2">
        <f>IF(A764="","",YEAR(A764)&amp;"-"&amp;TEXT(MONTH(A764),"00"))</f>
        <v/>
      </c>
    </row>
    <row r="765">
      <c r="A765" s="2" t="n"/>
      <c r="B765" s="2" t="n"/>
      <c r="C765" s="2" t="n"/>
      <c r="D765" s="8">
        <f>IF(B765="","",IFERROR(INDEX(Товары!$F$2:$F$51,MATCH(B765,Товары!$A$2:$A$51,0)),""))</f>
        <v/>
      </c>
      <c r="E765" s="8">
        <f>IF(OR(B765="",D765=""),"",C765*D765)</f>
        <v/>
      </c>
      <c r="F765" s="8">
        <f>IF(B765="","",IFERROR(C765*INDEX(Товары!$J$2:$J$51,MATCH(B765,Товары!$A$2:$A$51,0)),""))</f>
        <v/>
      </c>
      <c r="G765" s="2">
        <f>IF(A765="","",YEAR(A765)&amp;"-"&amp;TEXT(MONTH(A765),"00"))</f>
        <v/>
      </c>
    </row>
    <row r="766">
      <c r="A766" s="2" t="n"/>
      <c r="B766" s="2" t="n"/>
      <c r="C766" s="2" t="n"/>
      <c r="D766" s="8">
        <f>IF(B766="","",IFERROR(INDEX(Товары!$F$2:$F$51,MATCH(B766,Товары!$A$2:$A$51,0)),""))</f>
        <v/>
      </c>
      <c r="E766" s="8">
        <f>IF(OR(B766="",D766=""),"",C766*D766)</f>
        <v/>
      </c>
      <c r="F766" s="8">
        <f>IF(B766="","",IFERROR(C766*INDEX(Товары!$J$2:$J$51,MATCH(B766,Товары!$A$2:$A$51,0)),""))</f>
        <v/>
      </c>
      <c r="G766" s="2">
        <f>IF(A766="","",YEAR(A766)&amp;"-"&amp;TEXT(MONTH(A766),"00"))</f>
        <v/>
      </c>
    </row>
    <row r="767">
      <c r="A767" s="2" t="n"/>
      <c r="B767" s="2" t="n"/>
      <c r="C767" s="2" t="n"/>
      <c r="D767" s="8">
        <f>IF(B767="","",IFERROR(INDEX(Товары!$F$2:$F$51,MATCH(B767,Товары!$A$2:$A$51,0)),""))</f>
        <v/>
      </c>
      <c r="E767" s="8">
        <f>IF(OR(B767="",D767=""),"",C767*D767)</f>
        <v/>
      </c>
      <c r="F767" s="8">
        <f>IF(B767="","",IFERROR(C767*INDEX(Товары!$J$2:$J$51,MATCH(B767,Товары!$A$2:$A$51,0)),""))</f>
        <v/>
      </c>
      <c r="G767" s="2">
        <f>IF(A767="","",YEAR(A767)&amp;"-"&amp;TEXT(MONTH(A767),"00"))</f>
        <v/>
      </c>
    </row>
    <row r="768">
      <c r="A768" s="2" t="n"/>
      <c r="B768" s="2" t="n"/>
      <c r="C768" s="2" t="n"/>
      <c r="D768" s="8">
        <f>IF(B768="","",IFERROR(INDEX(Товары!$F$2:$F$51,MATCH(B768,Товары!$A$2:$A$51,0)),""))</f>
        <v/>
      </c>
      <c r="E768" s="8">
        <f>IF(OR(B768="",D768=""),"",C768*D768)</f>
        <v/>
      </c>
      <c r="F768" s="8">
        <f>IF(B768="","",IFERROR(C768*INDEX(Товары!$J$2:$J$51,MATCH(B768,Товары!$A$2:$A$51,0)),""))</f>
        <v/>
      </c>
      <c r="G768" s="2">
        <f>IF(A768="","",YEAR(A768)&amp;"-"&amp;TEXT(MONTH(A768),"00"))</f>
        <v/>
      </c>
    </row>
    <row r="769">
      <c r="A769" s="2" t="n"/>
      <c r="B769" s="2" t="n"/>
      <c r="C769" s="2" t="n"/>
      <c r="D769" s="8">
        <f>IF(B769="","",IFERROR(INDEX(Товары!$F$2:$F$51,MATCH(B769,Товары!$A$2:$A$51,0)),""))</f>
        <v/>
      </c>
      <c r="E769" s="8">
        <f>IF(OR(B769="",D769=""),"",C769*D769)</f>
        <v/>
      </c>
      <c r="F769" s="8">
        <f>IF(B769="","",IFERROR(C769*INDEX(Товары!$J$2:$J$51,MATCH(B769,Товары!$A$2:$A$51,0)),""))</f>
        <v/>
      </c>
      <c r="G769" s="2">
        <f>IF(A769="","",YEAR(A769)&amp;"-"&amp;TEXT(MONTH(A769),"00"))</f>
        <v/>
      </c>
    </row>
    <row r="770">
      <c r="A770" s="2" t="n"/>
      <c r="B770" s="2" t="n"/>
      <c r="C770" s="2" t="n"/>
      <c r="D770" s="8">
        <f>IF(B770="","",IFERROR(INDEX(Товары!$F$2:$F$51,MATCH(B770,Товары!$A$2:$A$51,0)),""))</f>
        <v/>
      </c>
      <c r="E770" s="8">
        <f>IF(OR(B770="",D770=""),"",C770*D770)</f>
        <v/>
      </c>
      <c r="F770" s="8">
        <f>IF(B770="","",IFERROR(C770*INDEX(Товары!$J$2:$J$51,MATCH(B770,Товары!$A$2:$A$51,0)),""))</f>
        <v/>
      </c>
      <c r="G770" s="2">
        <f>IF(A770="","",YEAR(A770)&amp;"-"&amp;TEXT(MONTH(A770),"00"))</f>
        <v/>
      </c>
    </row>
    <row r="771">
      <c r="A771" s="2" t="n"/>
      <c r="B771" s="2" t="n"/>
      <c r="C771" s="2" t="n"/>
      <c r="D771" s="8">
        <f>IF(B771="","",IFERROR(INDEX(Товары!$F$2:$F$51,MATCH(B771,Товары!$A$2:$A$51,0)),""))</f>
        <v/>
      </c>
      <c r="E771" s="8">
        <f>IF(OR(B771="",D771=""),"",C771*D771)</f>
        <v/>
      </c>
      <c r="F771" s="8">
        <f>IF(B771="","",IFERROR(C771*INDEX(Товары!$J$2:$J$51,MATCH(B771,Товары!$A$2:$A$51,0)),""))</f>
        <v/>
      </c>
      <c r="G771" s="2">
        <f>IF(A771="","",YEAR(A771)&amp;"-"&amp;TEXT(MONTH(A771),"00"))</f>
        <v/>
      </c>
    </row>
    <row r="772">
      <c r="A772" s="2" t="n"/>
      <c r="B772" s="2" t="n"/>
      <c r="C772" s="2" t="n"/>
      <c r="D772" s="8">
        <f>IF(B772="","",IFERROR(INDEX(Товары!$F$2:$F$51,MATCH(B772,Товары!$A$2:$A$51,0)),""))</f>
        <v/>
      </c>
      <c r="E772" s="8">
        <f>IF(OR(B772="",D772=""),"",C772*D772)</f>
        <v/>
      </c>
      <c r="F772" s="8">
        <f>IF(B772="","",IFERROR(C772*INDEX(Товары!$J$2:$J$51,MATCH(B772,Товары!$A$2:$A$51,0)),""))</f>
        <v/>
      </c>
      <c r="G772" s="2">
        <f>IF(A772="","",YEAR(A772)&amp;"-"&amp;TEXT(MONTH(A772),"00"))</f>
        <v/>
      </c>
    </row>
    <row r="773">
      <c r="A773" s="2" t="n"/>
      <c r="B773" s="2" t="n"/>
      <c r="C773" s="2" t="n"/>
      <c r="D773" s="8">
        <f>IF(B773="","",IFERROR(INDEX(Товары!$F$2:$F$51,MATCH(B773,Товары!$A$2:$A$51,0)),""))</f>
        <v/>
      </c>
      <c r="E773" s="8">
        <f>IF(OR(B773="",D773=""),"",C773*D773)</f>
        <v/>
      </c>
      <c r="F773" s="8">
        <f>IF(B773="","",IFERROR(C773*INDEX(Товары!$J$2:$J$51,MATCH(B773,Товары!$A$2:$A$51,0)),""))</f>
        <v/>
      </c>
      <c r="G773" s="2">
        <f>IF(A773="","",YEAR(A773)&amp;"-"&amp;TEXT(MONTH(A773),"00"))</f>
        <v/>
      </c>
    </row>
    <row r="774">
      <c r="A774" s="2" t="n"/>
      <c r="B774" s="2" t="n"/>
      <c r="C774" s="2" t="n"/>
      <c r="D774" s="8">
        <f>IF(B774="","",IFERROR(INDEX(Товары!$F$2:$F$51,MATCH(B774,Товары!$A$2:$A$51,0)),""))</f>
        <v/>
      </c>
      <c r="E774" s="8">
        <f>IF(OR(B774="",D774=""),"",C774*D774)</f>
        <v/>
      </c>
      <c r="F774" s="8">
        <f>IF(B774="","",IFERROR(C774*INDEX(Товары!$J$2:$J$51,MATCH(B774,Товары!$A$2:$A$51,0)),""))</f>
        <v/>
      </c>
      <c r="G774" s="2">
        <f>IF(A774="","",YEAR(A774)&amp;"-"&amp;TEXT(MONTH(A774),"00"))</f>
        <v/>
      </c>
    </row>
    <row r="775">
      <c r="A775" s="2" t="n"/>
      <c r="B775" s="2" t="n"/>
      <c r="C775" s="2" t="n"/>
      <c r="D775" s="8">
        <f>IF(B775="","",IFERROR(INDEX(Товары!$F$2:$F$51,MATCH(B775,Товары!$A$2:$A$51,0)),""))</f>
        <v/>
      </c>
      <c r="E775" s="8">
        <f>IF(OR(B775="",D775=""),"",C775*D775)</f>
        <v/>
      </c>
      <c r="F775" s="8">
        <f>IF(B775="","",IFERROR(C775*INDEX(Товары!$J$2:$J$51,MATCH(B775,Товары!$A$2:$A$51,0)),""))</f>
        <v/>
      </c>
      <c r="G775" s="2">
        <f>IF(A775="","",YEAR(A775)&amp;"-"&amp;TEXT(MONTH(A775),"00"))</f>
        <v/>
      </c>
    </row>
    <row r="776">
      <c r="A776" s="2" t="n"/>
      <c r="B776" s="2" t="n"/>
      <c r="C776" s="2" t="n"/>
      <c r="D776" s="8">
        <f>IF(B776="","",IFERROR(INDEX(Товары!$F$2:$F$51,MATCH(B776,Товары!$A$2:$A$51,0)),""))</f>
        <v/>
      </c>
      <c r="E776" s="8">
        <f>IF(OR(B776="",D776=""),"",C776*D776)</f>
        <v/>
      </c>
      <c r="F776" s="8">
        <f>IF(B776="","",IFERROR(C776*INDEX(Товары!$J$2:$J$51,MATCH(B776,Товары!$A$2:$A$51,0)),""))</f>
        <v/>
      </c>
      <c r="G776" s="2">
        <f>IF(A776="","",YEAR(A776)&amp;"-"&amp;TEXT(MONTH(A776),"00"))</f>
        <v/>
      </c>
    </row>
    <row r="777">
      <c r="A777" s="2" t="n"/>
      <c r="B777" s="2" t="n"/>
      <c r="C777" s="2" t="n"/>
      <c r="D777" s="8">
        <f>IF(B777="","",IFERROR(INDEX(Товары!$F$2:$F$51,MATCH(B777,Товары!$A$2:$A$51,0)),""))</f>
        <v/>
      </c>
      <c r="E777" s="8">
        <f>IF(OR(B777="",D777=""),"",C777*D777)</f>
        <v/>
      </c>
      <c r="F777" s="8">
        <f>IF(B777="","",IFERROR(C777*INDEX(Товары!$J$2:$J$51,MATCH(B777,Товары!$A$2:$A$51,0)),""))</f>
        <v/>
      </c>
      <c r="G777" s="2">
        <f>IF(A777="","",YEAR(A777)&amp;"-"&amp;TEXT(MONTH(A777),"00"))</f>
        <v/>
      </c>
    </row>
    <row r="778">
      <c r="A778" s="2" t="n"/>
      <c r="B778" s="2" t="n"/>
      <c r="C778" s="2" t="n"/>
      <c r="D778" s="8">
        <f>IF(B778="","",IFERROR(INDEX(Товары!$F$2:$F$51,MATCH(B778,Товары!$A$2:$A$51,0)),""))</f>
        <v/>
      </c>
      <c r="E778" s="8">
        <f>IF(OR(B778="",D778=""),"",C778*D778)</f>
        <v/>
      </c>
      <c r="F778" s="8">
        <f>IF(B778="","",IFERROR(C778*INDEX(Товары!$J$2:$J$51,MATCH(B778,Товары!$A$2:$A$51,0)),""))</f>
        <v/>
      </c>
      <c r="G778" s="2">
        <f>IF(A778="","",YEAR(A778)&amp;"-"&amp;TEXT(MONTH(A778),"00"))</f>
        <v/>
      </c>
    </row>
    <row r="779">
      <c r="A779" s="2" t="n"/>
      <c r="B779" s="2" t="n"/>
      <c r="C779" s="2" t="n"/>
      <c r="D779" s="8">
        <f>IF(B779="","",IFERROR(INDEX(Товары!$F$2:$F$51,MATCH(B779,Товары!$A$2:$A$51,0)),""))</f>
        <v/>
      </c>
      <c r="E779" s="8">
        <f>IF(OR(B779="",D779=""),"",C779*D779)</f>
        <v/>
      </c>
      <c r="F779" s="8">
        <f>IF(B779="","",IFERROR(C779*INDEX(Товары!$J$2:$J$51,MATCH(B779,Товары!$A$2:$A$51,0)),""))</f>
        <v/>
      </c>
      <c r="G779" s="2">
        <f>IF(A779="","",YEAR(A779)&amp;"-"&amp;TEXT(MONTH(A779),"00"))</f>
        <v/>
      </c>
    </row>
    <row r="780">
      <c r="A780" s="2" t="n"/>
      <c r="B780" s="2" t="n"/>
      <c r="C780" s="2" t="n"/>
      <c r="D780" s="8">
        <f>IF(B780="","",IFERROR(INDEX(Товары!$F$2:$F$51,MATCH(B780,Товары!$A$2:$A$51,0)),""))</f>
        <v/>
      </c>
      <c r="E780" s="8">
        <f>IF(OR(B780="",D780=""),"",C780*D780)</f>
        <v/>
      </c>
      <c r="F780" s="8">
        <f>IF(B780="","",IFERROR(C780*INDEX(Товары!$J$2:$J$51,MATCH(B780,Товары!$A$2:$A$51,0)),""))</f>
        <v/>
      </c>
      <c r="G780" s="2">
        <f>IF(A780="","",YEAR(A780)&amp;"-"&amp;TEXT(MONTH(A780),"00"))</f>
        <v/>
      </c>
    </row>
    <row r="781">
      <c r="A781" s="2" t="n"/>
      <c r="B781" s="2" t="n"/>
      <c r="C781" s="2" t="n"/>
      <c r="D781" s="8">
        <f>IF(B781="","",IFERROR(INDEX(Товары!$F$2:$F$51,MATCH(B781,Товары!$A$2:$A$51,0)),""))</f>
        <v/>
      </c>
      <c r="E781" s="8">
        <f>IF(OR(B781="",D781=""),"",C781*D781)</f>
        <v/>
      </c>
      <c r="F781" s="8">
        <f>IF(B781="","",IFERROR(C781*INDEX(Товары!$J$2:$J$51,MATCH(B781,Товары!$A$2:$A$51,0)),""))</f>
        <v/>
      </c>
      <c r="G781" s="2">
        <f>IF(A781="","",YEAR(A781)&amp;"-"&amp;TEXT(MONTH(A781),"00"))</f>
        <v/>
      </c>
    </row>
    <row r="782">
      <c r="A782" s="2" t="n"/>
      <c r="B782" s="2" t="n"/>
      <c r="C782" s="2" t="n"/>
      <c r="D782" s="8">
        <f>IF(B782="","",IFERROR(INDEX(Товары!$F$2:$F$51,MATCH(B782,Товары!$A$2:$A$51,0)),""))</f>
        <v/>
      </c>
      <c r="E782" s="8">
        <f>IF(OR(B782="",D782=""),"",C782*D782)</f>
        <v/>
      </c>
      <c r="F782" s="8">
        <f>IF(B782="","",IFERROR(C782*INDEX(Товары!$J$2:$J$51,MATCH(B782,Товары!$A$2:$A$51,0)),""))</f>
        <v/>
      </c>
      <c r="G782" s="2">
        <f>IF(A782="","",YEAR(A782)&amp;"-"&amp;TEXT(MONTH(A782),"00"))</f>
        <v/>
      </c>
    </row>
    <row r="783">
      <c r="A783" s="2" t="n"/>
      <c r="B783" s="2" t="n"/>
      <c r="C783" s="2" t="n"/>
      <c r="D783" s="8">
        <f>IF(B783="","",IFERROR(INDEX(Товары!$F$2:$F$51,MATCH(B783,Товары!$A$2:$A$51,0)),""))</f>
        <v/>
      </c>
      <c r="E783" s="8">
        <f>IF(OR(B783="",D783=""),"",C783*D783)</f>
        <v/>
      </c>
      <c r="F783" s="8">
        <f>IF(B783="","",IFERROR(C783*INDEX(Товары!$J$2:$J$51,MATCH(B783,Товары!$A$2:$A$51,0)),""))</f>
        <v/>
      </c>
      <c r="G783" s="2">
        <f>IF(A783="","",YEAR(A783)&amp;"-"&amp;TEXT(MONTH(A783),"00"))</f>
        <v/>
      </c>
    </row>
    <row r="784">
      <c r="A784" s="2" t="n"/>
      <c r="B784" s="2" t="n"/>
      <c r="C784" s="2" t="n"/>
      <c r="D784" s="8">
        <f>IF(B784="","",IFERROR(INDEX(Товары!$F$2:$F$51,MATCH(B784,Товары!$A$2:$A$51,0)),""))</f>
        <v/>
      </c>
      <c r="E784" s="8">
        <f>IF(OR(B784="",D784=""),"",C784*D784)</f>
        <v/>
      </c>
      <c r="F784" s="8">
        <f>IF(B784="","",IFERROR(C784*INDEX(Товары!$J$2:$J$51,MATCH(B784,Товары!$A$2:$A$51,0)),""))</f>
        <v/>
      </c>
      <c r="G784" s="2">
        <f>IF(A784="","",YEAR(A784)&amp;"-"&amp;TEXT(MONTH(A784),"00"))</f>
        <v/>
      </c>
    </row>
    <row r="785">
      <c r="A785" s="2" t="n"/>
      <c r="B785" s="2" t="n"/>
      <c r="C785" s="2" t="n"/>
      <c r="D785" s="8">
        <f>IF(B785="","",IFERROR(INDEX(Товары!$F$2:$F$51,MATCH(B785,Товары!$A$2:$A$51,0)),""))</f>
        <v/>
      </c>
      <c r="E785" s="8">
        <f>IF(OR(B785="",D785=""),"",C785*D785)</f>
        <v/>
      </c>
      <c r="F785" s="8">
        <f>IF(B785="","",IFERROR(C785*INDEX(Товары!$J$2:$J$51,MATCH(B785,Товары!$A$2:$A$51,0)),""))</f>
        <v/>
      </c>
      <c r="G785" s="2">
        <f>IF(A785="","",YEAR(A785)&amp;"-"&amp;TEXT(MONTH(A785),"00"))</f>
        <v/>
      </c>
    </row>
    <row r="786">
      <c r="A786" s="2" t="n"/>
      <c r="B786" s="2" t="n"/>
      <c r="C786" s="2" t="n"/>
      <c r="D786" s="8">
        <f>IF(B786="","",IFERROR(INDEX(Товары!$F$2:$F$51,MATCH(B786,Товары!$A$2:$A$51,0)),""))</f>
        <v/>
      </c>
      <c r="E786" s="8">
        <f>IF(OR(B786="",D786=""),"",C786*D786)</f>
        <v/>
      </c>
      <c r="F786" s="8">
        <f>IF(B786="","",IFERROR(C786*INDEX(Товары!$J$2:$J$51,MATCH(B786,Товары!$A$2:$A$51,0)),""))</f>
        <v/>
      </c>
      <c r="G786" s="2">
        <f>IF(A786="","",YEAR(A786)&amp;"-"&amp;TEXT(MONTH(A786),"00"))</f>
        <v/>
      </c>
    </row>
    <row r="787">
      <c r="A787" s="2" t="n"/>
      <c r="B787" s="2" t="n"/>
      <c r="C787" s="2" t="n"/>
      <c r="D787" s="8">
        <f>IF(B787="","",IFERROR(INDEX(Товары!$F$2:$F$51,MATCH(B787,Товары!$A$2:$A$51,0)),""))</f>
        <v/>
      </c>
      <c r="E787" s="8">
        <f>IF(OR(B787="",D787=""),"",C787*D787)</f>
        <v/>
      </c>
      <c r="F787" s="8">
        <f>IF(B787="","",IFERROR(C787*INDEX(Товары!$J$2:$J$51,MATCH(B787,Товары!$A$2:$A$51,0)),""))</f>
        <v/>
      </c>
      <c r="G787" s="2">
        <f>IF(A787="","",YEAR(A787)&amp;"-"&amp;TEXT(MONTH(A787),"00"))</f>
        <v/>
      </c>
    </row>
    <row r="788">
      <c r="A788" s="2" t="n"/>
      <c r="B788" s="2" t="n"/>
      <c r="C788" s="2" t="n"/>
      <c r="D788" s="8">
        <f>IF(B788="","",IFERROR(INDEX(Товары!$F$2:$F$51,MATCH(B788,Товары!$A$2:$A$51,0)),""))</f>
        <v/>
      </c>
      <c r="E788" s="8">
        <f>IF(OR(B788="",D788=""),"",C788*D788)</f>
        <v/>
      </c>
      <c r="F788" s="8">
        <f>IF(B788="","",IFERROR(C788*INDEX(Товары!$J$2:$J$51,MATCH(B788,Товары!$A$2:$A$51,0)),""))</f>
        <v/>
      </c>
      <c r="G788" s="2">
        <f>IF(A788="","",YEAR(A788)&amp;"-"&amp;TEXT(MONTH(A788),"00"))</f>
        <v/>
      </c>
    </row>
    <row r="789">
      <c r="A789" s="2" t="n"/>
      <c r="B789" s="2" t="n"/>
      <c r="C789" s="2" t="n"/>
      <c r="D789" s="8">
        <f>IF(B789="","",IFERROR(INDEX(Товары!$F$2:$F$51,MATCH(B789,Товары!$A$2:$A$51,0)),""))</f>
        <v/>
      </c>
      <c r="E789" s="8">
        <f>IF(OR(B789="",D789=""),"",C789*D789)</f>
        <v/>
      </c>
      <c r="F789" s="8">
        <f>IF(B789="","",IFERROR(C789*INDEX(Товары!$J$2:$J$51,MATCH(B789,Товары!$A$2:$A$51,0)),""))</f>
        <v/>
      </c>
      <c r="G789" s="2">
        <f>IF(A789="","",YEAR(A789)&amp;"-"&amp;TEXT(MONTH(A789),"00"))</f>
        <v/>
      </c>
    </row>
    <row r="790">
      <c r="A790" s="2" t="n"/>
      <c r="B790" s="2" t="n"/>
      <c r="C790" s="2" t="n"/>
      <c r="D790" s="8">
        <f>IF(B790="","",IFERROR(INDEX(Товары!$F$2:$F$51,MATCH(B790,Товары!$A$2:$A$51,0)),""))</f>
        <v/>
      </c>
      <c r="E790" s="8">
        <f>IF(OR(B790="",D790=""),"",C790*D790)</f>
        <v/>
      </c>
      <c r="F790" s="8">
        <f>IF(B790="","",IFERROR(C790*INDEX(Товары!$J$2:$J$51,MATCH(B790,Товары!$A$2:$A$51,0)),""))</f>
        <v/>
      </c>
      <c r="G790" s="2">
        <f>IF(A790="","",YEAR(A790)&amp;"-"&amp;TEXT(MONTH(A790),"00"))</f>
        <v/>
      </c>
    </row>
    <row r="791">
      <c r="A791" s="2" t="n"/>
      <c r="B791" s="2" t="n"/>
      <c r="C791" s="2" t="n"/>
      <c r="D791" s="8">
        <f>IF(B791="","",IFERROR(INDEX(Товары!$F$2:$F$51,MATCH(B791,Товары!$A$2:$A$51,0)),""))</f>
        <v/>
      </c>
      <c r="E791" s="8">
        <f>IF(OR(B791="",D791=""),"",C791*D791)</f>
        <v/>
      </c>
      <c r="F791" s="8">
        <f>IF(B791="","",IFERROR(C791*INDEX(Товары!$J$2:$J$51,MATCH(B791,Товары!$A$2:$A$51,0)),""))</f>
        <v/>
      </c>
      <c r="G791" s="2">
        <f>IF(A791="","",YEAR(A791)&amp;"-"&amp;TEXT(MONTH(A791),"00"))</f>
        <v/>
      </c>
    </row>
    <row r="792">
      <c r="A792" s="2" t="n"/>
      <c r="B792" s="2" t="n"/>
      <c r="C792" s="2" t="n"/>
      <c r="D792" s="8">
        <f>IF(B792="","",IFERROR(INDEX(Товары!$F$2:$F$51,MATCH(B792,Товары!$A$2:$A$51,0)),""))</f>
        <v/>
      </c>
      <c r="E792" s="8">
        <f>IF(OR(B792="",D792=""),"",C792*D792)</f>
        <v/>
      </c>
      <c r="F792" s="8">
        <f>IF(B792="","",IFERROR(C792*INDEX(Товары!$J$2:$J$51,MATCH(B792,Товары!$A$2:$A$51,0)),""))</f>
        <v/>
      </c>
      <c r="G792" s="2">
        <f>IF(A792="","",YEAR(A792)&amp;"-"&amp;TEXT(MONTH(A792),"00"))</f>
        <v/>
      </c>
    </row>
    <row r="793">
      <c r="A793" s="2" t="n"/>
      <c r="B793" s="2" t="n"/>
      <c r="C793" s="2" t="n"/>
      <c r="D793" s="8">
        <f>IF(B793="","",IFERROR(INDEX(Товары!$F$2:$F$51,MATCH(B793,Товары!$A$2:$A$51,0)),""))</f>
        <v/>
      </c>
      <c r="E793" s="8">
        <f>IF(OR(B793="",D793=""),"",C793*D793)</f>
        <v/>
      </c>
      <c r="F793" s="8">
        <f>IF(B793="","",IFERROR(C793*INDEX(Товары!$J$2:$J$51,MATCH(B793,Товары!$A$2:$A$51,0)),""))</f>
        <v/>
      </c>
      <c r="G793" s="2">
        <f>IF(A793="","",YEAR(A793)&amp;"-"&amp;TEXT(MONTH(A793),"00"))</f>
        <v/>
      </c>
    </row>
    <row r="794">
      <c r="A794" s="2" t="n"/>
      <c r="B794" s="2" t="n"/>
      <c r="C794" s="2" t="n"/>
      <c r="D794" s="8">
        <f>IF(B794="","",IFERROR(INDEX(Товары!$F$2:$F$51,MATCH(B794,Товары!$A$2:$A$51,0)),""))</f>
        <v/>
      </c>
      <c r="E794" s="8">
        <f>IF(OR(B794="",D794=""),"",C794*D794)</f>
        <v/>
      </c>
      <c r="F794" s="8">
        <f>IF(B794="","",IFERROR(C794*INDEX(Товары!$J$2:$J$51,MATCH(B794,Товары!$A$2:$A$51,0)),""))</f>
        <v/>
      </c>
      <c r="G794" s="2">
        <f>IF(A794="","",YEAR(A794)&amp;"-"&amp;TEXT(MONTH(A794),"00"))</f>
        <v/>
      </c>
    </row>
    <row r="795">
      <c r="A795" s="2" t="n"/>
      <c r="B795" s="2" t="n"/>
      <c r="C795" s="2" t="n"/>
      <c r="D795" s="8">
        <f>IF(B795="","",IFERROR(INDEX(Товары!$F$2:$F$51,MATCH(B795,Товары!$A$2:$A$51,0)),""))</f>
        <v/>
      </c>
      <c r="E795" s="8">
        <f>IF(OR(B795="",D795=""),"",C795*D795)</f>
        <v/>
      </c>
      <c r="F795" s="8">
        <f>IF(B795="","",IFERROR(C795*INDEX(Товары!$J$2:$J$51,MATCH(B795,Товары!$A$2:$A$51,0)),""))</f>
        <v/>
      </c>
      <c r="G795" s="2">
        <f>IF(A795="","",YEAR(A795)&amp;"-"&amp;TEXT(MONTH(A795),"00"))</f>
        <v/>
      </c>
    </row>
    <row r="796">
      <c r="A796" s="2" t="n"/>
      <c r="B796" s="2" t="n"/>
      <c r="C796" s="2" t="n"/>
      <c r="D796" s="8">
        <f>IF(B796="","",IFERROR(INDEX(Товары!$F$2:$F$51,MATCH(B796,Товары!$A$2:$A$51,0)),""))</f>
        <v/>
      </c>
      <c r="E796" s="8">
        <f>IF(OR(B796="",D796=""),"",C796*D796)</f>
        <v/>
      </c>
      <c r="F796" s="8">
        <f>IF(B796="","",IFERROR(C796*INDEX(Товары!$J$2:$J$51,MATCH(B796,Товары!$A$2:$A$51,0)),""))</f>
        <v/>
      </c>
      <c r="G796" s="2">
        <f>IF(A796="","",YEAR(A796)&amp;"-"&amp;TEXT(MONTH(A796),"00"))</f>
        <v/>
      </c>
    </row>
    <row r="797">
      <c r="A797" s="2" t="n"/>
      <c r="B797" s="2" t="n"/>
      <c r="C797" s="2" t="n"/>
      <c r="D797" s="8">
        <f>IF(B797="","",IFERROR(INDEX(Товары!$F$2:$F$51,MATCH(B797,Товары!$A$2:$A$51,0)),""))</f>
        <v/>
      </c>
      <c r="E797" s="8">
        <f>IF(OR(B797="",D797=""),"",C797*D797)</f>
        <v/>
      </c>
      <c r="F797" s="8">
        <f>IF(B797="","",IFERROR(C797*INDEX(Товары!$J$2:$J$51,MATCH(B797,Товары!$A$2:$A$51,0)),""))</f>
        <v/>
      </c>
      <c r="G797" s="2">
        <f>IF(A797="","",YEAR(A797)&amp;"-"&amp;TEXT(MONTH(A797),"00"))</f>
        <v/>
      </c>
    </row>
    <row r="798">
      <c r="A798" s="2" t="n"/>
      <c r="B798" s="2" t="n"/>
      <c r="C798" s="2" t="n"/>
      <c r="D798" s="8">
        <f>IF(B798="","",IFERROR(INDEX(Товары!$F$2:$F$51,MATCH(B798,Товары!$A$2:$A$51,0)),""))</f>
        <v/>
      </c>
      <c r="E798" s="8">
        <f>IF(OR(B798="",D798=""),"",C798*D798)</f>
        <v/>
      </c>
      <c r="F798" s="8">
        <f>IF(B798="","",IFERROR(C798*INDEX(Товары!$J$2:$J$51,MATCH(B798,Товары!$A$2:$A$51,0)),""))</f>
        <v/>
      </c>
      <c r="G798" s="2">
        <f>IF(A798="","",YEAR(A798)&amp;"-"&amp;TEXT(MONTH(A798),"00"))</f>
        <v/>
      </c>
    </row>
    <row r="799">
      <c r="A799" s="2" t="n"/>
      <c r="B799" s="2" t="n"/>
      <c r="C799" s="2" t="n"/>
      <c r="D799" s="8">
        <f>IF(B799="","",IFERROR(INDEX(Товары!$F$2:$F$51,MATCH(B799,Товары!$A$2:$A$51,0)),""))</f>
        <v/>
      </c>
      <c r="E799" s="8">
        <f>IF(OR(B799="",D799=""),"",C799*D799)</f>
        <v/>
      </c>
      <c r="F799" s="8">
        <f>IF(B799="","",IFERROR(C799*INDEX(Товары!$J$2:$J$51,MATCH(B799,Товары!$A$2:$A$51,0)),""))</f>
        <v/>
      </c>
      <c r="G799" s="2">
        <f>IF(A799="","",YEAR(A799)&amp;"-"&amp;TEXT(MONTH(A799),"00"))</f>
        <v/>
      </c>
    </row>
    <row r="800">
      <c r="A800" s="2" t="n"/>
      <c r="B800" s="2" t="n"/>
      <c r="C800" s="2" t="n"/>
      <c r="D800" s="8">
        <f>IF(B800="","",IFERROR(INDEX(Товары!$F$2:$F$51,MATCH(B800,Товары!$A$2:$A$51,0)),""))</f>
        <v/>
      </c>
      <c r="E800" s="8">
        <f>IF(OR(B800="",D800=""),"",C800*D800)</f>
        <v/>
      </c>
      <c r="F800" s="8">
        <f>IF(B800="","",IFERROR(C800*INDEX(Товары!$J$2:$J$51,MATCH(B800,Товары!$A$2:$A$51,0)),""))</f>
        <v/>
      </c>
      <c r="G800" s="2">
        <f>IF(A800="","",YEAR(A800)&amp;"-"&amp;TEXT(MONTH(A800),"00"))</f>
        <v/>
      </c>
    </row>
    <row r="801">
      <c r="A801" s="2" t="n"/>
      <c r="B801" s="2" t="n"/>
      <c r="C801" s="2" t="n"/>
      <c r="D801" s="8">
        <f>IF(B801="","",IFERROR(INDEX(Товары!$F$2:$F$51,MATCH(B801,Товары!$A$2:$A$51,0)),""))</f>
        <v/>
      </c>
      <c r="E801" s="8">
        <f>IF(OR(B801="",D801=""),"",C801*D801)</f>
        <v/>
      </c>
      <c r="F801" s="8">
        <f>IF(B801="","",IFERROR(C801*INDEX(Товары!$J$2:$J$51,MATCH(B801,Товары!$A$2:$A$51,0)),""))</f>
        <v/>
      </c>
      <c r="G801" s="2">
        <f>IF(A801="","",YEAR(A801)&amp;"-"&amp;TEXT(MONTH(A801),"00"))</f>
        <v/>
      </c>
    </row>
    <row r="802">
      <c r="A802" s="2" t="n"/>
      <c r="B802" s="2" t="n"/>
      <c r="C802" s="2" t="n"/>
      <c r="D802" s="8">
        <f>IF(B802="","",IFERROR(INDEX(Товары!$F$2:$F$51,MATCH(B802,Товары!$A$2:$A$51,0)),""))</f>
        <v/>
      </c>
      <c r="E802" s="8">
        <f>IF(OR(B802="",D802=""),"",C802*D802)</f>
        <v/>
      </c>
      <c r="F802" s="8">
        <f>IF(B802="","",IFERROR(C802*INDEX(Товары!$J$2:$J$51,MATCH(B802,Товары!$A$2:$A$51,0)),""))</f>
        <v/>
      </c>
      <c r="G802" s="2">
        <f>IF(A802="","",YEAR(A802)&amp;"-"&amp;TEXT(MONTH(A802),"00"))</f>
        <v/>
      </c>
    </row>
    <row r="803">
      <c r="A803" s="2" t="n"/>
      <c r="B803" s="2" t="n"/>
      <c r="C803" s="2" t="n"/>
      <c r="D803" s="8">
        <f>IF(B803="","",IFERROR(INDEX(Товары!$F$2:$F$51,MATCH(B803,Товары!$A$2:$A$51,0)),""))</f>
        <v/>
      </c>
      <c r="E803" s="8">
        <f>IF(OR(B803="",D803=""),"",C803*D803)</f>
        <v/>
      </c>
      <c r="F803" s="8">
        <f>IF(B803="","",IFERROR(C803*INDEX(Товары!$J$2:$J$51,MATCH(B803,Товары!$A$2:$A$51,0)),""))</f>
        <v/>
      </c>
      <c r="G803" s="2">
        <f>IF(A803="","",YEAR(A803)&amp;"-"&amp;TEXT(MONTH(A803),"00"))</f>
        <v/>
      </c>
    </row>
    <row r="804">
      <c r="A804" s="2" t="n"/>
      <c r="B804" s="2" t="n"/>
      <c r="C804" s="2" t="n"/>
      <c r="D804" s="8">
        <f>IF(B804="","",IFERROR(INDEX(Товары!$F$2:$F$51,MATCH(B804,Товары!$A$2:$A$51,0)),""))</f>
        <v/>
      </c>
      <c r="E804" s="8">
        <f>IF(OR(B804="",D804=""),"",C804*D804)</f>
        <v/>
      </c>
      <c r="F804" s="8">
        <f>IF(B804="","",IFERROR(C804*INDEX(Товары!$J$2:$J$51,MATCH(B804,Товары!$A$2:$A$51,0)),""))</f>
        <v/>
      </c>
      <c r="G804" s="2">
        <f>IF(A804="","",YEAR(A804)&amp;"-"&amp;TEXT(MONTH(A804),"00"))</f>
        <v/>
      </c>
    </row>
    <row r="805">
      <c r="A805" s="2" t="n"/>
      <c r="B805" s="2" t="n"/>
      <c r="C805" s="2" t="n"/>
      <c r="D805" s="8">
        <f>IF(B805="","",IFERROR(INDEX(Товары!$F$2:$F$51,MATCH(B805,Товары!$A$2:$A$51,0)),""))</f>
        <v/>
      </c>
      <c r="E805" s="8">
        <f>IF(OR(B805="",D805=""),"",C805*D805)</f>
        <v/>
      </c>
      <c r="F805" s="8">
        <f>IF(B805="","",IFERROR(C805*INDEX(Товары!$J$2:$J$51,MATCH(B805,Товары!$A$2:$A$51,0)),""))</f>
        <v/>
      </c>
      <c r="G805" s="2">
        <f>IF(A805="","",YEAR(A805)&amp;"-"&amp;TEXT(MONTH(A805),"00"))</f>
        <v/>
      </c>
    </row>
    <row r="806">
      <c r="A806" s="2" t="n"/>
      <c r="B806" s="2" t="n"/>
      <c r="C806" s="2" t="n"/>
      <c r="D806" s="8">
        <f>IF(B806="","",IFERROR(INDEX(Товары!$F$2:$F$51,MATCH(B806,Товары!$A$2:$A$51,0)),""))</f>
        <v/>
      </c>
      <c r="E806" s="8">
        <f>IF(OR(B806="",D806=""),"",C806*D806)</f>
        <v/>
      </c>
      <c r="F806" s="8">
        <f>IF(B806="","",IFERROR(C806*INDEX(Товары!$J$2:$J$51,MATCH(B806,Товары!$A$2:$A$51,0)),""))</f>
        <v/>
      </c>
      <c r="G806" s="2">
        <f>IF(A806="","",YEAR(A806)&amp;"-"&amp;TEXT(MONTH(A806),"00"))</f>
        <v/>
      </c>
    </row>
    <row r="807">
      <c r="A807" s="2" t="n"/>
      <c r="B807" s="2" t="n"/>
      <c r="C807" s="2" t="n"/>
      <c r="D807" s="8">
        <f>IF(B807="","",IFERROR(INDEX(Товары!$F$2:$F$51,MATCH(B807,Товары!$A$2:$A$51,0)),""))</f>
        <v/>
      </c>
      <c r="E807" s="8">
        <f>IF(OR(B807="",D807=""),"",C807*D807)</f>
        <v/>
      </c>
      <c r="F807" s="8">
        <f>IF(B807="","",IFERROR(C807*INDEX(Товары!$J$2:$J$51,MATCH(B807,Товары!$A$2:$A$51,0)),""))</f>
        <v/>
      </c>
      <c r="G807" s="2">
        <f>IF(A807="","",YEAR(A807)&amp;"-"&amp;TEXT(MONTH(A807),"00"))</f>
        <v/>
      </c>
    </row>
    <row r="808">
      <c r="A808" s="2" t="n"/>
      <c r="B808" s="2" t="n"/>
      <c r="C808" s="2" t="n"/>
      <c r="D808" s="8">
        <f>IF(B808="","",IFERROR(INDEX(Товары!$F$2:$F$51,MATCH(B808,Товары!$A$2:$A$51,0)),""))</f>
        <v/>
      </c>
      <c r="E808" s="8">
        <f>IF(OR(B808="",D808=""),"",C808*D808)</f>
        <v/>
      </c>
      <c r="F808" s="8">
        <f>IF(B808="","",IFERROR(C808*INDEX(Товары!$J$2:$J$51,MATCH(B808,Товары!$A$2:$A$51,0)),""))</f>
        <v/>
      </c>
      <c r="G808" s="2">
        <f>IF(A808="","",YEAR(A808)&amp;"-"&amp;TEXT(MONTH(A808),"00"))</f>
        <v/>
      </c>
    </row>
    <row r="809">
      <c r="A809" s="2" t="n"/>
      <c r="B809" s="2" t="n"/>
      <c r="C809" s="2" t="n"/>
      <c r="D809" s="8">
        <f>IF(B809="","",IFERROR(INDEX(Товары!$F$2:$F$51,MATCH(B809,Товары!$A$2:$A$51,0)),""))</f>
        <v/>
      </c>
      <c r="E809" s="8">
        <f>IF(OR(B809="",D809=""),"",C809*D809)</f>
        <v/>
      </c>
      <c r="F809" s="8">
        <f>IF(B809="","",IFERROR(C809*INDEX(Товары!$J$2:$J$51,MATCH(B809,Товары!$A$2:$A$51,0)),""))</f>
        <v/>
      </c>
      <c r="G809" s="2">
        <f>IF(A809="","",YEAR(A809)&amp;"-"&amp;TEXT(MONTH(A809),"00"))</f>
        <v/>
      </c>
    </row>
    <row r="810">
      <c r="A810" s="2" t="n"/>
      <c r="B810" s="2" t="n"/>
      <c r="C810" s="2" t="n"/>
      <c r="D810" s="8">
        <f>IF(B810="","",IFERROR(INDEX(Товары!$F$2:$F$51,MATCH(B810,Товары!$A$2:$A$51,0)),""))</f>
        <v/>
      </c>
      <c r="E810" s="8">
        <f>IF(OR(B810="",D810=""),"",C810*D810)</f>
        <v/>
      </c>
      <c r="F810" s="8">
        <f>IF(B810="","",IFERROR(C810*INDEX(Товары!$J$2:$J$51,MATCH(B810,Товары!$A$2:$A$51,0)),""))</f>
        <v/>
      </c>
      <c r="G810" s="2">
        <f>IF(A810="","",YEAR(A810)&amp;"-"&amp;TEXT(MONTH(A810),"00"))</f>
        <v/>
      </c>
    </row>
    <row r="811">
      <c r="A811" s="2" t="n"/>
      <c r="B811" s="2" t="n"/>
      <c r="C811" s="2" t="n"/>
      <c r="D811" s="8">
        <f>IF(B811="","",IFERROR(INDEX(Товары!$F$2:$F$51,MATCH(B811,Товары!$A$2:$A$51,0)),""))</f>
        <v/>
      </c>
      <c r="E811" s="8">
        <f>IF(OR(B811="",D811=""),"",C811*D811)</f>
        <v/>
      </c>
      <c r="F811" s="8">
        <f>IF(B811="","",IFERROR(C811*INDEX(Товары!$J$2:$J$51,MATCH(B811,Товары!$A$2:$A$51,0)),""))</f>
        <v/>
      </c>
      <c r="G811" s="2">
        <f>IF(A811="","",YEAR(A811)&amp;"-"&amp;TEXT(MONTH(A811),"00"))</f>
        <v/>
      </c>
    </row>
    <row r="812">
      <c r="A812" s="2" t="n"/>
      <c r="B812" s="2" t="n"/>
      <c r="C812" s="2" t="n"/>
      <c r="D812" s="8">
        <f>IF(B812="","",IFERROR(INDEX(Товары!$F$2:$F$51,MATCH(B812,Товары!$A$2:$A$51,0)),""))</f>
        <v/>
      </c>
      <c r="E812" s="8">
        <f>IF(OR(B812="",D812=""),"",C812*D812)</f>
        <v/>
      </c>
      <c r="F812" s="8">
        <f>IF(B812="","",IFERROR(C812*INDEX(Товары!$J$2:$J$51,MATCH(B812,Товары!$A$2:$A$51,0)),""))</f>
        <v/>
      </c>
      <c r="G812" s="2">
        <f>IF(A812="","",YEAR(A812)&amp;"-"&amp;TEXT(MONTH(A812),"00"))</f>
        <v/>
      </c>
    </row>
    <row r="813">
      <c r="A813" s="2" t="n"/>
      <c r="B813" s="2" t="n"/>
      <c r="C813" s="2" t="n"/>
      <c r="D813" s="8">
        <f>IF(B813="","",IFERROR(INDEX(Товары!$F$2:$F$51,MATCH(B813,Товары!$A$2:$A$51,0)),""))</f>
        <v/>
      </c>
      <c r="E813" s="8">
        <f>IF(OR(B813="",D813=""),"",C813*D813)</f>
        <v/>
      </c>
      <c r="F813" s="8">
        <f>IF(B813="","",IFERROR(C813*INDEX(Товары!$J$2:$J$51,MATCH(B813,Товары!$A$2:$A$51,0)),""))</f>
        <v/>
      </c>
      <c r="G813" s="2">
        <f>IF(A813="","",YEAR(A813)&amp;"-"&amp;TEXT(MONTH(A813),"00"))</f>
        <v/>
      </c>
    </row>
    <row r="814">
      <c r="A814" s="2" t="n"/>
      <c r="B814" s="2" t="n"/>
      <c r="C814" s="2" t="n"/>
      <c r="D814" s="8">
        <f>IF(B814="","",IFERROR(INDEX(Товары!$F$2:$F$51,MATCH(B814,Товары!$A$2:$A$51,0)),""))</f>
        <v/>
      </c>
      <c r="E814" s="8">
        <f>IF(OR(B814="",D814=""),"",C814*D814)</f>
        <v/>
      </c>
      <c r="F814" s="8">
        <f>IF(B814="","",IFERROR(C814*INDEX(Товары!$J$2:$J$51,MATCH(B814,Товары!$A$2:$A$51,0)),""))</f>
        <v/>
      </c>
      <c r="G814" s="2">
        <f>IF(A814="","",YEAR(A814)&amp;"-"&amp;TEXT(MONTH(A814),"00"))</f>
        <v/>
      </c>
    </row>
    <row r="815">
      <c r="A815" s="2" t="n"/>
      <c r="B815" s="2" t="n"/>
      <c r="C815" s="2" t="n"/>
      <c r="D815" s="8">
        <f>IF(B815="","",IFERROR(INDEX(Товары!$F$2:$F$51,MATCH(B815,Товары!$A$2:$A$51,0)),""))</f>
        <v/>
      </c>
      <c r="E815" s="8">
        <f>IF(OR(B815="",D815=""),"",C815*D815)</f>
        <v/>
      </c>
      <c r="F815" s="8">
        <f>IF(B815="","",IFERROR(C815*INDEX(Товары!$J$2:$J$51,MATCH(B815,Товары!$A$2:$A$51,0)),""))</f>
        <v/>
      </c>
      <c r="G815" s="2">
        <f>IF(A815="","",YEAR(A815)&amp;"-"&amp;TEXT(MONTH(A815),"00"))</f>
        <v/>
      </c>
    </row>
    <row r="816">
      <c r="A816" s="2" t="n"/>
      <c r="B816" s="2" t="n"/>
      <c r="C816" s="2" t="n"/>
      <c r="D816" s="8">
        <f>IF(B816="","",IFERROR(INDEX(Товары!$F$2:$F$51,MATCH(B816,Товары!$A$2:$A$51,0)),""))</f>
        <v/>
      </c>
      <c r="E816" s="8">
        <f>IF(OR(B816="",D816=""),"",C816*D816)</f>
        <v/>
      </c>
      <c r="F816" s="8">
        <f>IF(B816="","",IFERROR(C816*INDEX(Товары!$J$2:$J$51,MATCH(B816,Товары!$A$2:$A$51,0)),""))</f>
        <v/>
      </c>
      <c r="G816" s="2">
        <f>IF(A816="","",YEAR(A816)&amp;"-"&amp;TEXT(MONTH(A816),"00"))</f>
        <v/>
      </c>
    </row>
    <row r="817">
      <c r="A817" s="2" t="n"/>
      <c r="B817" s="2" t="n"/>
      <c r="C817" s="2" t="n"/>
      <c r="D817" s="8">
        <f>IF(B817="","",IFERROR(INDEX(Товары!$F$2:$F$51,MATCH(B817,Товары!$A$2:$A$51,0)),""))</f>
        <v/>
      </c>
      <c r="E817" s="8">
        <f>IF(OR(B817="",D817=""),"",C817*D817)</f>
        <v/>
      </c>
      <c r="F817" s="8">
        <f>IF(B817="","",IFERROR(C817*INDEX(Товары!$J$2:$J$51,MATCH(B817,Товары!$A$2:$A$51,0)),""))</f>
        <v/>
      </c>
      <c r="G817" s="2">
        <f>IF(A817="","",YEAR(A817)&amp;"-"&amp;TEXT(MONTH(A817),"00"))</f>
        <v/>
      </c>
    </row>
    <row r="818">
      <c r="A818" s="2" t="n"/>
      <c r="B818" s="2" t="n"/>
      <c r="C818" s="2" t="n"/>
      <c r="D818" s="8">
        <f>IF(B818="","",IFERROR(INDEX(Товары!$F$2:$F$51,MATCH(B818,Товары!$A$2:$A$51,0)),""))</f>
        <v/>
      </c>
      <c r="E818" s="8">
        <f>IF(OR(B818="",D818=""),"",C818*D818)</f>
        <v/>
      </c>
      <c r="F818" s="8">
        <f>IF(B818="","",IFERROR(C818*INDEX(Товары!$J$2:$J$51,MATCH(B818,Товары!$A$2:$A$51,0)),""))</f>
        <v/>
      </c>
      <c r="G818" s="2">
        <f>IF(A818="","",YEAR(A818)&amp;"-"&amp;TEXT(MONTH(A818),"00"))</f>
        <v/>
      </c>
    </row>
    <row r="819">
      <c r="A819" s="2" t="n"/>
      <c r="B819" s="2" t="n"/>
      <c r="C819" s="2" t="n"/>
      <c r="D819" s="8">
        <f>IF(B819="","",IFERROR(INDEX(Товары!$F$2:$F$51,MATCH(B819,Товары!$A$2:$A$51,0)),""))</f>
        <v/>
      </c>
      <c r="E819" s="8">
        <f>IF(OR(B819="",D819=""),"",C819*D819)</f>
        <v/>
      </c>
      <c r="F819" s="8">
        <f>IF(B819="","",IFERROR(C819*INDEX(Товары!$J$2:$J$51,MATCH(B819,Товары!$A$2:$A$51,0)),""))</f>
        <v/>
      </c>
      <c r="G819" s="2">
        <f>IF(A819="","",YEAR(A819)&amp;"-"&amp;TEXT(MONTH(A819),"00"))</f>
        <v/>
      </c>
    </row>
    <row r="820">
      <c r="A820" s="2" t="n"/>
      <c r="B820" s="2" t="n"/>
      <c r="C820" s="2" t="n"/>
      <c r="D820" s="8">
        <f>IF(B820="","",IFERROR(INDEX(Товары!$F$2:$F$51,MATCH(B820,Товары!$A$2:$A$51,0)),""))</f>
        <v/>
      </c>
      <c r="E820" s="8">
        <f>IF(OR(B820="",D820=""),"",C820*D820)</f>
        <v/>
      </c>
      <c r="F820" s="8">
        <f>IF(B820="","",IFERROR(C820*INDEX(Товары!$J$2:$J$51,MATCH(B820,Товары!$A$2:$A$51,0)),""))</f>
        <v/>
      </c>
      <c r="G820" s="2">
        <f>IF(A820="","",YEAR(A820)&amp;"-"&amp;TEXT(MONTH(A820),"00"))</f>
        <v/>
      </c>
    </row>
    <row r="821">
      <c r="A821" s="2" t="n"/>
      <c r="B821" s="2" t="n"/>
      <c r="C821" s="2" t="n"/>
      <c r="D821" s="8">
        <f>IF(B821="","",IFERROR(INDEX(Товары!$F$2:$F$51,MATCH(B821,Товары!$A$2:$A$51,0)),""))</f>
        <v/>
      </c>
      <c r="E821" s="8">
        <f>IF(OR(B821="",D821=""),"",C821*D821)</f>
        <v/>
      </c>
      <c r="F821" s="8">
        <f>IF(B821="","",IFERROR(C821*INDEX(Товары!$J$2:$J$51,MATCH(B821,Товары!$A$2:$A$51,0)),""))</f>
        <v/>
      </c>
      <c r="G821" s="2">
        <f>IF(A821="","",YEAR(A821)&amp;"-"&amp;TEXT(MONTH(A821),"00"))</f>
        <v/>
      </c>
    </row>
    <row r="822">
      <c r="A822" s="2" t="n"/>
      <c r="B822" s="2" t="n"/>
      <c r="C822" s="2" t="n"/>
      <c r="D822" s="8">
        <f>IF(B822="","",IFERROR(INDEX(Товары!$F$2:$F$51,MATCH(B822,Товары!$A$2:$A$51,0)),""))</f>
        <v/>
      </c>
      <c r="E822" s="8">
        <f>IF(OR(B822="",D822=""),"",C822*D822)</f>
        <v/>
      </c>
      <c r="F822" s="8">
        <f>IF(B822="","",IFERROR(C822*INDEX(Товары!$J$2:$J$51,MATCH(B822,Товары!$A$2:$A$51,0)),""))</f>
        <v/>
      </c>
      <c r="G822" s="2">
        <f>IF(A822="","",YEAR(A822)&amp;"-"&amp;TEXT(MONTH(A822),"00"))</f>
        <v/>
      </c>
    </row>
    <row r="823">
      <c r="A823" s="2" t="n"/>
      <c r="B823" s="2" t="n"/>
      <c r="C823" s="2" t="n"/>
      <c r="D823" s="8">
        <f>IF(B823="","",IFERROR(INDEX(Товары!$F$2:$F$51,MATCH(B823,Товары!$A$2:$A$51,0)),""))</f>
        <v/>
      </c>
      <c r="E823" s="8">
        <f>IF(OR(B823="",D823=""),"",C823*D823)</f>
        <v/>
      </c>
      <c r="F823" s="8">
        <f>IF(B823="","",IFERROR(C823*INDEX(Товары!$J$2:$J$51,MATCH(B823,Товары!$A$2:$A$51,0)),""))</f>
        <v/>
      </c>
      <c r="G823" s="2">
        <f>IF(A823="","",YEAR(A823)&amp;"-"&amp;TEXT(MONTH(A823),"00"))</f>
        <v/>
      </c>
    </row>
    <row r="824">
      <c r="A824" s="2" t="n"/>
      <c r="B824" s="2" t="n"/>
      <c r="C824" s="2" t="n"/>
      <c r="D824" s="8">
        <f>IF(B824="","",IFERROR(INDEX(Товары!$F$2:$F$51,MATCH(B824,Товары!$A$2:$A$51,0)),""))</f>
        <v/>
      </c>
      <c r="E824" s="8">
        <f>IF(OR(B824="",D824=""),"",C824*D824)</f>
        <v/>
      </c>
      <c r="F824" s="8">
        <f>IF(B824="","",IFERROR(C824*INDEX(Товары!$J$2:$J$51,MATCH(B824,Товары!$A$2:$A$51,0)),""))</f>
        <v/>
      </c>
      <c r="G824" s="2">
        <f>IF(A824="","",YEAR(A824)&amp;"-"&amp;TEXT(MONTH(A824),"00"))</f>
        <v/>
      </c>
    </row>
    <row r="825">
      <c r="A825" s="2" t="n"/>
      <c r="B825" s="2" t="n"/>
      <c r="C825" s="2" t="n"/>
      <c r="D825" s="8">
        <f>IF(B825="","",IFERROR(INDEX(Товары!$F$2:$F$51,MATCH(B825,Товары!$A$2:$A$51,0)),""))</f>
        <v/>
      </c>
      <c r="E825" s="8">
        <f>IF(OR(B825="",D825=""),"",C825*D825)</f>
        <v/>
      </c>
      <c r="F825" s="8">
        <f>IF(B825="","",IFERROR(C825*INDEX(Товары!$J$2:$J$51,MATCH(B825,Товары!$A$2:$A$51,0)),""))</f>
        <v/>
      </c>
      <c r="G825" s="2">
        <f>IF(A825="","",YEAR(A825)&amp;"-"&amp;TEXT(MONTH(A825),"00"))</f>
        <v/>
      </c>
    </row>
    <row r="826">
      <c r="A826" s="2" t="n"/>
      <c r="B826" s="2" t="n"/>
      <c r="C826" s="2" t="n"/>
      <c r="D826" s="8">
        <f>IF(B826="","",IFERROR(INDEX(Товары!$F$2:$F$51,MATCH(B826,Товары!$A$2:$A$51,0)),""))</f>
        <v/>
      </c>
      <c r="E826" s="8">
        <f>IF(OR(B826="",D826=""),"",C826*D826)</f>
        <v/>
      </c>
      <c r="F826" s="8">
        <f>IF(B826="","",IFERROR(C826*INDEX(Товары!$J$2:$J$51,MATCH(B826,Товары!$A$2:$A$51,0)),""))</f>
        <v/>
      </c>
      <c r="G826" s="2">
        <f>IF(A826="","",YEAR(A826)&amp;"-"&amp;TEXT(MONTH(A826),"00"))</f>
        <v/>
      </c>
    </row>
    <row r="827">
      <c r="A827" s="2" t="n"/>
      <c r="B827" s="2" t="n"/>
      <c r="C827" s="2" t="n"/>
      <c r="D827" s="8">
        <f>IF(B827="","",IFERROR(INDEX(Товары!$F$2:$F$51,MATCH(B827,Товары!$A$2:$A$51,0)),""))</f>
        <v/>
      </c>
      <c r="E827" s="8">
        <f>IF(OR(B827="",D827=""),"",C827*D827)</f>
        <v/>
      </c>
      <c r="F827" s="8">
        <f>IF(B827="","",IFERROR(C827*INDEX(Товары!$J$2:$J$51,MATCH(B827,Товары!$A$2:$A$51,0)),""))</f>
        <v/>
      </c>
      <c r="G827" s="2">
        <f>IF(A827="","",YEAR(A827)&amp;"-"&amp;TEXT(MONTH(A827),"00"))</f>
        <v/>
      </c>
    </row>
    <row r="828">
      <c r="A828" s="2" t="n"/>
      <c r="B828" s="2" t="n"/>
      <c r="C828" s="2" t="n"/>
      <c r="D828" s="8">
        <f>IF(B828="","",IFERROR(INDEX(Товары!$F$2:$F$51,MATCH(B828,Товары!$A$2:$A$51,0)),""))</f>
        <v/>
      </c>
      <c r="E828" s="8">
        <f>IF(OR(B828="",D828=""),"",C828*D828)</f>
        <v/>
      </c>
      <c r="F828" s="8">
        <f>IF(B828="","",IFERROR(C828*INDEX(Товары!$J$2:$J$51,MATCH(B828,Товары!$A$2:$A$51,0)),""))</f>
        <v/>
      </c>
      <c r="G828" s="2">
        <f>IF(A828="","",YEAR(A828)&amp;"-"&amp;TEXT(MONTH(A828),"00"))</f>
        <v/>
      </c>
    </row>
    <row r="829">
      <c r="A829" s="2" t="n"/>
      <c r="B829" s="2" t="n"/>
      <c r="C829" s="2" t="n"/>
      <c r="D829" s="8">
        <f>IF(B829="","",IFERROR(INDEX(Товары!$F$2:$F$51,MATCH(B829,Товары!$A$2:$A$51,0)),""))</f>
        <v/>
      </c>
      <c r="E829" s="8">
        <f>IF(OR(B829="",D829=""),"",C829*D829)</f>
        <v/>
      </c>
      <c r="F829" s="8">
        <f>IF(B829="","",IFERROR(C829*INDEX(Товары!$J$2:$J$51,MATCH(B829,Товары!$A$2:$A$51,0)),""))</f>
        <v/>
      </c>
      <c r="G829" s="2">
        <f>IF(A829="","",YEAR(A829)&amp;"-"&amp;TEXT(MONTH(A829),"00"))</f>
        <v/>
      </c>
    </row>
    <row r="830">
      <c r="A830" s="2" t="n"/>
      <c r="B830" s="2" t="n"/>
      <c r="C830" s="2" t="n"/>
      <c r="D830" s="8">
        <f>IF(B830="","",IFERROR(INDEX(Товары!$F$2:$F$51,MATCH(B830,Товары!$A$2:$A$51,0)),""))</f>
        <v/>
      </c>
      <c r="E830" s="8">
        <f>IF(OR(B830="",D830=""),"",C830*D830)</f>
        <v/>
      </c>
      <c r="F830" s="8">
        <f>IF(B830="","",IFERROR(C830*INDEX(Товары!$J$2:$J$51,MATCH(B830,Товары!$A$2:$A$51,0)),""))</f>
        <v/>
      </c>
      <c r="G830" s="2">
        <f>IF(A830="","",YEAR(A830)&amp;"-"&amp;TEXT(MONTH(A830),"00"))</f>
        <v/>
      </c>
    </row>
    <row r="831">
      <c r="A831" s="2" t="n"/>
      <c r="B831" s="2" t="n"/>
      <c r="C831" s="2" t="n"/>
      <c r="D831" s="8">
        <f>IF(B831="","",IFERROR(INDEX(Товары!$F$2:$F$51,MATCH(B831,Товары!$A$2:$A$51,0)),""))</f>
        <v/>
      </c>
      <c r="E831" s="8">
        <f>IF(OR(B831="",D831=""),"",C831*D831)</f>
        <v/>
      </c>
      <c r="F831" s="8">
        <f>IF(B831="","",IFERROR(C831*INDEX(Товары!$J$2:$J$51,MATCH(B831,Товары!$A$2:$A$51,0)),""))</f>
        <v/>
      </c>
      <c r="G831" s="2">
        <f>IF(A831="","",YEAR(A831)&amp;"-"&amp;TEXT(MONTH(A831),"00"))</f>
        <v/>
      </c>
    </row>
    <row r="832">
      <c r="A832" s="2" t="n"/>
      <c r="B832" s="2" t="n"/>
      <c r="C832" s="2" t="n"/>
      <c r="D832" s="8">
        <f>IF(B832="","",IFERROR(INDEX(Товары!$F$2:$F$51,MATCH(B832,Товары!$A$2:$A$51,0)),""))</f>
        <v/>
      </c>
      <c r="E832" s="8">
        <f>IF(OR(B832="",D832=""),"",C832*D832)</f>
        <v/>
      </c>
      <c r="F832" s="8">
        <f>IF(B832="","",IFERROR(C832*INDEX(Товары!$J$2:$J$51,MATCH(B832,Товары!$A$2:$A$51,0)),""))</f>
        <v/>
      </c>
      <c r="G832" s="2">
        <f>IF(A832="","",YEAR(A832)&amp;"-"&amp;TEXT(MONTH(A832),"00"))</f>
        <v/>
      </c>
    </row>
    <row r="833">
      <c r="A833" s="2" t="n"/>
      <c r="B833" s="2" t="n"/>
      <c r="C833" s="2" t="n"/>
      <c r="D833" s="8">
        <f>IF(B833="","",IFERROR(INDEX(Товары!$F$2:$F$51,MATCH(B833,Товары!$A$2:$A$51,0)),""))</f>
        <v/>
      </c>
      <c r="E833" s="8">
        <f>IF(OR(B833="",D833=""),"",C833*D833)</f>
        <v/>
      </c>
      <c r="F833" s="8">
        <f>IF(B833="","",IFERROR(C833*INDEX(Товары!$J$2:$J$51,MATCH(B833,Товары!$A$2:$A$51,0)),""))</f>
        <v/>
      </c>
      <c r="G833" s="2">
        <f>IF(A833="","",YEAR(A833)&amp;"-"&amp;TEXT(MONTH(A833),"00"))</f>
        <v/>
      </c>
    </row>
    <row r="834">
      <c r="A834" s="2" t="n"/>
      <c r="B834" s="2" t="n"/>
      <c r="C834" s="2" t="n"/>
      <c r="D834" s="8">
        <f>IF(B834="","",IFERROR(INDEX(Товары!$F$2:$F$51,MATCH(B834,Товары!$A$2:$A$51,0)),""))</f>
        <v/>
      </c>
      <c r="E834" s="8">
        <f>IF(OR(B834="",D834=""),"",C834*D834)</f>
        <v/>
      </c>
      <c r="F834" s="8">
        <f>IF(B834="","",IFERROR(C834*INDEX(Товары!$J$2:$J$51,MATCH(B834,Товары!$A$2:$A$51,0)),""))</f>
        <v/>
      </c>
      <c r="G834" s="2">
        <f>IF(A834="","",YEAR(A834)&amp;"-"&amp;TEXT(MONTH(A834),"00"))</f>
        <v/>
      </c>
    </row>
    <row r="835">
      <c r="A835" s="2" t="n"/>
      <c r="B835" s="2" t="n"/>
      <c r="C835" s="2" t="n"/>
      <c r="D835" s="8">
        <f>IF(B835="","",IFERROR(INDEX(Товары!$F$2:$F$51,MATCH(B835,Товары!$A$2:$A$51,0)),""))</f>
        <v/>
      </c>
      <c r="E835" s="8">
        <f>IF(OR(B835="",D835=""),"",C835*D835)</f>
        <v/>
      </c>
      <c r="F835" s="8">
        <f>IF(B835="","",IFERROR(C835*INDEX(Товары!$J$2:$J$51,MATCH(B835,Товары!$A$2:$A$51,0)),""))</f>
        <v/>
      </c>
      <c r="G835" s="2">
        <f>IF(A835="","",YEAR(A835)&amp;"-"&amp;TEXT(MONTH(A835),"00"))</f>
        <v/>
      </c>
    </row>
    <row r="836">
      <c r="A836" s="2" t="n"/>
      <c r="B836" s="2" t="n"/>
      <c r="C836" s="2" t="n"/>
      <c r="D836" s="8">
        <f>IF(B836="","",IFERROR(INDEX(Товары!$F$2:$F$51,MATCH(B836,Товары!$A$2:$A$51,0)),""))</f>
        <v/>
      </c>
      <c r="E836" s="8">
        <f>IF(OR(B836="",D836=""),"",C836*D836)</f>
        <v/>
      </c>
      <c r="F836" s="8">
        <f>IF(B836="","",IFERROR(C836*INDEX(Товары!$J$2:$J$51,MATCH(B836,Товары!$A$2:$A$51,0)),""))</f>
        <v/>
      </c>
      <c r="G836" s="2">
        <f>IF(A836="","",YEAR(A836)&amp;"-"&amp;TEXT(MONTH(A836),"00"))</f>
        <v/>
      </c>
    </row>
    <row r="837">
      <c r="A837" s="2" t="n"/>
      <c r="B837" s="2" t="n"/>
      <c r="C837" s="2" t="n"/>
      <c r="D837" s="8">
        <f>IF(B837="","",IFERROR(INDEX(Товары!$F$2:$F$51,MATCH(B837,Товары!$A$2:$A$51,0)),""))</f>
        <v/>
      </c>
      <c r="E837" s="8">
        <f>IF(OR(B837="",D837=""),"",C837*D837)</f>
        <v/>
      </c>
      <c r="F837" s="8">
        <f>IF(B837="","",IFERROR(C837*INDEX(Товары!$J$2:$J$51,MATCH(B837,Товары!$A$2:$A$51,0)),""))</f>
        <v/>
      </c>
      <c r="G837" s="2">
        <f>IF(A837="","",YEAR(A837)&amp;"-"&amp;TEXT(MONTH(A837),"00"))</f>
        <v/>
      </c>
    </row>
    <row r="838">
      <c r="A838" s="2" t="n"/>
      <c r="B838" s="2" t="n"/>
      <c r="C838" s="2" t="n"/>
      <c r="D838" s="8">
        <f>IF(B838="","",IFERROR(INDEX(Товары!$F$2:$F$51,MATCH(B838,Товары!$A$2:$A$51,0)),""))</f>
        <v/>
      </c>
      <c r="E838" s="8">
        <f>IF(OR(B838="",D838=""),"",C838*D838)</f>
        <v/>
      </c>
      <c r="F838" s="8">
        <f>IF(B838="","",IFERROR(C838*INDEX(Товары!$J$2:$J$51,MATCH(B838,Товары!$A$2:$A$51,0)),""))</f>
        <v/>
      </c>
      <c r="G838" s="2">
        <f>IF(A838="","",YEAR(A838)&amp;"-"&amp;TEXT(MONTH(A838),"00"))</f>
        <v/>
      </c>
    </row>
    <row r="839">
      <c r="A839" s="2" t="n"/>
      <c r="B839" s="2" t="n"/>
      <c r="C839" s="2" t="n"/>
      <c r="D839" s="8">
        <f>IF(B839="","",IFERROR(INDEX(Товары!$F$2:$F$51,MATCH(B839,Товары!$A$2:$A$51,0)),""))</f>
        <v/>
      </c>
      <c r="E839" s="8">
        <f>IF(OR(B839="",D839=""),"",C839*D839)</f>
        <v/>
      </c>
      <c r="F839" s="8">
        <f>IF(B839="","",IFERROR(C839*INDEX(Товары!$J$2:$J$51,MATCH(B839,Товары!$A$2:$A$51,0)),""))</f>
        <v/>
      </c>
      <c r="G839" s="2">
        <f>IF(A839="","",YEAR(A839)&amp;"-"&amp;TEXT(MONTH(A839),"00"))</f>
        <v/>
      </c>
    </row>
    <row r="840">
      <c r="A840" s="2" t="n"/>
      <c r="B840" s="2" t="n"/>
      <c r="C840" s="2" t="n"/>
      <c r="D840" s="8">
        <f>IF(B840="","",IFERROR(INDEX(Товары!$F$2:$F$51,MATCH(B840,Товары!$A$2:$A$51,0)),""))</f>
        <v/>
      </c>
      <c r="E840" s="8">
        <f>IF(OR(B840="",D840=""),"",C840*D840)</f>
        <v/>
      </c>
      <c r="F840" s="8">
        <f>IF(B840="","",IFERROR(C840*INDEX(Товары!$J$2:$J$51,MATCH(B840,Товары!$A$2:$A$51,0)),""))</f>
        <v/>
      </c>
      <c r="G840" s="2">
        <f>IF(A840="","",YEAR(A840)&amp;"-"&amp;TEXT(MONTH(A840),"00"))</f>
        <v/>
      </c>
    </row>
    <row r="841">
      <c r="A841" s="2" t="n"/>
      <c r="B841" s="2" t="n"/>
      <c r="C841" s="2" t="n"/>
      <c r="D841" s="8">
        <f>IF(B841="","",IFERROR(INDEX(Товары!$F$2:$F$51,MATCH(B841,Товары!$A$2:$A$51,0)),""))</f>
        <v/>
      </c>
      <c r="E841" s="8">
        <f>IF(OR(B841="",D841=""),"",C841*D841)</f>
        <v/>
      </c>
      <c r="F841" s="8">
        <f>IF(B841="","",IFERROR(C841*INDEX(Товары!$J$2:$J$51,MATCH(B841,Товары!$A$2:$A$51,0)),""))</f>
        <v/>
      </c>
      <c r="G841" s="2">
        <f>IF(A841="","",YEAR(A841)&amp;"-"&amp;TEXT(MONTH(A841),"00"))</f>
        <v/>
      </c>
    </row>
    <row r="842">
      <c r="A842" s="2" t="n"/>
      <c r="B842" s="2" t="n"/>
      <c r="C842" s="2" t="n"/>
      <c r="D842" s="8">
        <f>IF(B842="","",IFERROR(INDEX(Товары!$F$2:$F$51,MATCH(B842,Товары!$A$2:$A$51,0)),""))</f>
        <v/>
      </c>
      <c r="E842" s="8">
        <f>IF(OR(B842="",D842=""),"",C842*D842)</f>
        <v/>
      </c>
      <c r="F842" s="8">
        <f>IF(B842="","",IFERROR(C842*INDEX(Товары!$J$2:$J$51,MATCH(B842,Товары!$A$2:$A$51,0)),""))</f>
        <v/>
      </c>
      <c r="G842" s="2">
        <f>IF(A842="","",YEAR(A842)&amp;"-"&amp;TEXT(MONTH(A842),"00"))</f>
        <v/>
      </c>
    </row>
    <row r="843">
      <c r="A843" s="2" t="n"/>
      <c r="B843" s="2" t="n"/>
      <c r="C843" s="2" t="n"/>
      <c r="D843" s="8">
        <f>IF(B843="","",IFERROR(INDEX(Товары!$F$2:$F$51,MATCH(B843,Товары!$A$2:$A$51,0)),""))</f>
        <v/>
      </c>
      <c r="E843" s="8">
        <f>IF(OR(B843="",D843=""),"",C843*D843)</f>
        <v/>
      </c>
      <c r="F843" s="8">
        <f>IF(B843="","",IFERROR(C843*INDEX(Товары!$J$2:$J$51,MATCH(B843,Товары!$A$2:$A$51,0)),""))</f>
        <v/>
      </c>
      <c r="G843" s="2">
        <f>IF(A843="","",YEAR(A843)&amp;"-"&amp;TEXT(MONTH(A843),"00"))</f>
        <v/>
      </c>
    </row>
    <row r="844">
      <c r="A844" s="2" t="n"/>
      <c r="B844" s="2" t="n"/>
      <c r="C844" s="2" t="n"/>
      <c r="D844" s="8">
        <f>IF(B844="","",IFERROR(INDEX(Товары!$F$2:$F$51,MATCH(B844,Товары!$A$2:$A$51,0)),""))</f>
        <v/>
      </c>
      <c r="E844" s="8">
        <f>IF(OR(B844="",D844=""),"",C844*D844)</f>
        <v/>
      </c>
      <c r="F844" s="8">
        <f>IF(B844="","",IFERROR(C844*INDEX(Товары!$J$2:$J$51,MATCH(B844,Товары!$A$2:$A$51,0)),""))</f>
        <v/>
      </c>
      <c r="G844" s="2">
        <f>IF(A844="","",YEAR(A844)&amp;"-"&amp;TEXT(MONTH(A844),"00"))</f>
        <v/>
      </c>
    </row>
    <row r="845">
      <c r="A845" s="2" t="n"/>
      <c r="B845" s="2" t="n"/>
      <c r="C845" s="2" t="n"/>
      <c r="D845" s="8">
        <f>IF(B845="","",IFERROR(INDEX(Товары!$F$2:$F$51,MATCH(B845,Товары!$A$2:$A$51,0)),""))</f>
        <v/>
      </c>
      <c r="E845" s="8">
        <f>IF(OR(B845="",D845=""),"",C845*D845)</f>
        <v/>
      </c>
      <c r="F845" s="8">
        <f>IF(B845="","",IFERROR(C845*INDEX(Товары!$J$2:$J$51,MATCH(B845,Товары!$A$2:$A$51,0)),""))</f>
        <v/>
      </c>
      <c r="G845" s="2">
        <f>IF(A845="","",YEAR(A845)&amp;"-"&amp;TEXT(MONTH(A845),"00"))</f>
        <v/>
      </c>
    </row>
    <row r="846">
      <c r="A846" s="2" t="n"/>
      <c r="B846" s="2" t="n"/>
      <c r="C846" s="2" t="n"/>
      <c r="D846" s="8">
        <f>IF(B846="","",IFERROR(INDEX(Товары!$F$2:$F$51,MATCH(B846,Товары!$A$2:$A$51,0)),""))</f>
        <v/>
      </c>
      <c r="E846" s="8">
        <f>IF(OR(B846="",D846=""),"",C846*D846)</f>
        <v/>
      </c>
      <c r="F846" s="8">
        <f>IF(B846="","",IFERROR(C846*INDEX(Товары!$J$2:$J$51,MATCH(B846,Товары!$A$2:$A$51,0)),""))</f>
        <v/>
      </c>
      <c r="G846" s="2">
        <f>IF(A846="","",YEAR(A846)&amp;"-"&amp;TEXT(MONTH(A846),"00"))</f>
        <v/>
      </c>
    </row>
    <row r="847">
      <c r="A847" s="2" t="n"/>
      <c r="B847" s="2" t="n"/>
      <c r="C847" s="2" t="n"/>
      <c r="D847" s="8">
        <f>IF(B847="","",IFERROR(INDEX(Товары!$F$2:$F$51,MATCH(B847,Товары!$A$2:$A$51,0)),""))</f>
        <v/>
      </c>
      <c r="E847" s="8">
        <f>IF(OR(B847="",D847=""),"",C847*D847)</f>
        <v/>
      </c>
      <c r="F847" s="8">
        <f>IF(B847="","",IFERROR(C847*INDEX(Товары!$J$2:$J$51,MATCH(B847,Товары!$A$2:$A$51,0)),""))</f>
        <v/>
      </c>
      <c r="G847" s="2">
        <f>IF(A847="","",YEAR(A847)&amp;"-"&amp;TEXT(MONTH(A847),"00"))</f>
        <v/>
      </c>
    </row>
    <row r="848">
      <c r="A848" s="2" t="n"/>
      <c r="B848" s="2" t="n"/>
      <c r="C848" s="2" t="n"/>
      <c r="D848" s="8">
        <f>IF(B848="","",IFERROR(INDEX(Товары!$F$2:$F$51,MATCH(B848,Товары!$A$2:$A$51,0)),""))</f>
        <v/>
      </c>
      <c r="E848" s="8">
        <f>IF(OR(B848="",D848=""),"",C848*D848)</f>
        <v/>
      </c>
      <c r="F848" s="8">
        <f>IF(B848="","",IFERROR(C848*INDEX(Товары!$J$2:$J$51,MATCH(B848,Товары!$A$2:$A$51,0)),""))</f>
        <v/>
      </c>
      <c r="G848" s="2">
        <f>IF(A848="","",YEAR(A848)&amp;"-"&amp;TEXT(MONTH(A848),"00"))</f>
        <v/>
      </c>
    </row>
    <row r="849">
      <c r="A849" s="2" t="n"/>
      <c r="B849" s="2" t="n"/>
      <c r="C849" s="2" t="n"/>
      <c r="D849" s="8">
        <f>IF(B849="","",IFERROR(INDEX(Товары!$F$2:$F$51,MATCH(B849,Товары!$A$2:$A$51,0)),""))</f>
        <v/>
      </c>
      <c r="E849" s="8">
        <f>IF(OR(B849="",D849=""),"",C849*D849)</f>
        <v/>
      </c>
      <c r="F849" s="8">
        <f>IF(B849="","",IFERROR(C849*INDEX(Товары!$J$2:$J$51,MATCH(B849,Товары!$A$2:$A$51,0)),""))</f>
        <v/>
      </c>
      <c r="G849" s="2">
        <f>IF(A849="","",YEAR(A849)&amp;"-"&amp;TEXT(MONTH(A849),"00"))</f>
        <v/>
      </c>
    </row>
    <row r="850">
      <c r="A850" s="2" t="n"/>
      <c r="B850" s="2" t="n"/>
      <c r="C850" s="2" t="n"/>
      <c r="D850" s="8">
        <f>IF(B850="","",IFERROR(INDEX(Товары!$F$2:$F$51,MATCH(B850,Товары!$A$2:$A$51,0)),""))</f>
        <v/>
      </c>
      <c r="E850" s="8">
        <f>IF(OR(B850="",D850=""),"",C850*D850)</f>
        <v/>
      </c>
      <c r="F850" s="8">
        <f>IF(B850="","",IFERROR(C850*INDEX(Товары!$J$2:$J$51,MATCH(B850,Товары!$A$2:$A$51,0)),""))</f>
        <v/>
      </c>
      <c r="G850" s="2">
        <f>IF(A850="","",YEAR(A850)&amp;"-"&amp;TEXT(MONTH(A850),"00"))</f>
        <v/>
      </c>
    </row>
    <row r="851">
      <c r="A851" s="2" t="n"/>
      <c r="B851" s="2" t="n"/>
      <c r="C851" s="2" t="n"/>
      <c r="D851" s="8">
        <f>IF(B851="","",IFERROR(INDEX(Товары!$F$2:$F$51,MATCH(B851,Товары!$A$2:$A$51,0)),""))</f>
        <v/>
      </c>
      <c r="E851" s="8">
        <f>IF(OR(B851="",D851=""),"",C851*D851)</f>
        <v/>
      </c>
      <c r="F851" s="8">
        <f>IF(B851="","",IFERROR(C851*INDEX(Товары!$J$2:$J$51,MATCH(B851,Товары!$A$2:$A$51,0)),""))</f>
        <v/>
      </c>
      <c r="G851" s="2">
        <f>IF(A851="","",YEAR(A851)&amp;"-"&amp;TEXT(MONTH(A851),"00"))</f>
        <v/>
      </c>
    </row>
    <row r="852">
      <c r="A852" s="2" t="n"/>
      <c r="B852" s="2" t="n"/>
      <c r="C852" s="2" t="n"/>
      <c r="D852" s="8">
        <f>IF(B852="","",IFERROR(INDEX(Товары!$F$2:$F$51,MATCH(B852,Товары!$A$2:$A$51,0)),""))</f>
        <v/>
      </c>
      <c r="E852" s="8">
        <f>IF(OR(B852="",D852=""),"",C852*D852)</f>
        <v/>
      </c>
      <c r="F852" s="8">
        <f>IF(B852="","",IFERROR(C852*INDEX(Товары!$J$2:$J$51,MATCH(B852,Товары!$A$2:$A$51,0)),""))</f>
        <v/>
      </c>
      <c r="G852" s="2">
        <f>IF(A852="","",YEAR(A852)&amp;"-"&amp;TEXT(MONTH(A852),"00"))</f>
        <v/>
      </c>
    </row>
    <row r="853">
      <c r="A853" s="2" t="n"/>
      <c r="B853" s="2" t="n"/>
      <c r="C853" s="2" t="n"/>
      <c r="D853" s="8">
        <f>IF(B853="","",IFERROR(INDEX(Товары!$F$2:$F$51,MATCH(B853,Товары!$A$2:$A$51,0)),""))</f>
        <v/>
      </c>
      <c r="E853" s="8">
        <f>IF(OR(B853="",D853=""),"",C853*D853)</f>
        <v/>
      </c>
      <c r="F853" s="8">
        <f>IF(B853="","",IFERROR(C853*INDEX(Товары!$J$2:$J$51,MATCH(B853,Товары!$A$2:$A$51,0)),""))</f>
        <v/>
      </c>
      <c r="G853" s="2">
        <f>IF(A853="","",YEAR(A853)&amp;"-"&amp;TEXT(MONTH(A853),"00"))</f>
        <v/>
      </c>
    </row>
    <row r="854">
      <c r="A854" s="2" t="n"/>
      <c r="B854" s="2" t="n"/>
      <c r="C854" s="2" t="n"/>
      <c r="D854" s="8">
        <f>IF(B854="","",IFERROR(INDEX(Товары!$F$2:$F$51,MATCH(B854,Товары!$A$2:$A$51,0)),""))</f>
        <v/>
      </c>
      <c r="E854" s="8">
        <f>IF(OR(B854="",D854=""),"",C854*D854)</f>
        <v/>
      </c>
      <c r="F854" s="8">
        <f>IF(B854="","",IFERROR(C854*INDEX(Товары!$J$2:$J$51,MATCH(B854,Товары!$A$2:$A$51,0)),""))</f>
        <v/>
      </c>
      <c r="G854" s="2">
        <f>IF(A854="","",YEAR(A854)&amp;"-"&amp;TEXT(MONTH(A854),"00"))</f>
        <v/>
      </c>
    </row>
    <row r="855">
      <c r="A855" s="2" t="n"/>
      <c r="B855" s="2" t="n"/>
      <c r="C855" s="2" t="n"/>
      <c r="D855" s="8">
        <f>IF(B855="","",IFERROR(INDEX(Товары!$F$2:$F$51,MATCH(B855,Товары!$A$2:$A$51,0)),""))</f>
        <v/>
      </c>
      <c r="E855" s="8">
        <f>IF(OR(B855="",D855=""),"",C855*D855)</f>
        <v/>
      </c>
      <c r="F855" s="8">
        <f>IF(B855="","",IFERROR(C855*INDEX(Товары!$J$2:$J$51,MATCH(B855,Товары!$A$2:$A$51,0)),""))</f>
        <v/>
      </c>
      <c r="G855" s="2">
        <f>IF(A855="","",YEAR(A855)&amp;"-"&amp;TEXT(MONTH(A855),"00"))</f>
        <v/>
      </c>
    </row>
    <row r="856">
      <c r="A856" s="2" t="n"/>
      <c r="B856" s="2" t="n"/>
      <c r="C856" s="2" t="n"/>
      <c r="D856" s="8">
        <f>IF(B856="","",IFERROR(INDEX(Товары!$F$2:$F$51,MATCH(B856,Товары!$A$2:$A$51,0)),""))</f>
        <v/>
      </c>
      <c r="E856" s="8">
        <f>IF(OR(B856="",D856=""),"",C856*D856)</f>
        <v/>
      </c>
      <c r="F856" s="8">
        <f>IF(B856="","",IFERROR(C856*INDEX(Товары!$J$2:$J$51,MATCH(B856,Товары!$A$2:$A$51,0)),""))</f>
        <v/>
      </c>
      <c r="G856" s="2">
        <f>IF(A856="","",YEAR(A856)&amp;"-"&amp;TEXT(MONTH(A856),"00"))</f>
        <v/>
      </c>
    </row>
    <row r="857">
      <c r="A857" s="2" t="n"/>
      <c r="B857" s="2" t="n"/>
      <c r="C857" s="2" t="n"/>
      <c r="D857" s="8">
        <f>IF(B857="","",IFERROR(INDEX(Товары!$F$2:$F$51,MATCH(B857,Товары!$A$2:$A$51,0)),""))</f>
        <v/>
      </c>
      <c r="E857" s="8">
        <f>IF(OR(B857="",D857=""),"",C857*D857)</f>
        <v/>
      </c>
      <c r="F857" s="8">
        <f>IF(B857="","",IFERROR(C857*INDEX(Товары!$J$2:$J$51,MATCH(B857,Товары!$A$2:$A$51,0)),""))</f>
        <v/>
      </c>
      <c r="G857" s="2">
        <f>IF(A857="","",YEAR(A857)&amp;"-"&amp;TEXT(MONTH(A857),"00"))</f>
        <v/>
      </c>
    </row>
    <row r="858">
      <c r="A858" s="2" t="n"/>
      <c r="B858" s="2" t="n"/>
      <c r="C858" s="2" t="n"/>
      <c r="D858" s="8">
        <f>IF(B858="","",IFERROR(INDEX(Товары!$F$2:$F$51,MATCH(B858,Товары!$A$2:$A$51,0)),""))</f>
        <v/>
      </c>
      <c r="E858" s="8">
        <f>IF(OR(B858="",D858=""),"",C858*D858)</f>
        <v/>
      </c>
      <c r="F858" s="8">
        <f>IF(B858="","",IFERROR(C858*INDEX(Товары!$J$2:$J$51,MATCH(B858,Товары!$A$2:$A$51,0)),""))</f>
        <v/>
      </c>
      <c r="G858" s="2">
        <f>IF(A858="","",YEAR(A858)&amp;"-"&amp;TEXT(MONTH(A858),"00"))</f>
        <v/>
      </c>
    </row>
    <row r="859">
      <c r="A859" s="2" t="n"/>
      <c r="B859" s="2" t="n"/>
      <c r="C859" s="2" t="n"/>
      <c r="D859" s="8">
        <f>IF(B859="","",IFERROR(INDEX(Товары!$F$2:$F$51,MATCH(B859,Товары!$A$2:$A$51,0)),""))</f>
        <v/>
      </c>
      <c r="E859" s="8">
        <f>IF(OR(B859="",D859=""),"",C859*D859)</f>
        <v/>
      </c>
      <c r="F859" s="8">
        <f>IF(B859="","",IFERROR(C859*INDEX(Товары!$J$2:$J$51,MATCH(B859,Товары!$A$2:$A$51,0)),""))</f>
        <v/>
      </c>
      <c r="G859" s="2">
        <f>IF(A859="","",YEAR(A859)&amp;"-"&amp;TEXT(MONTH(A859),"00"))</f>
        <v/>
      </c>
    </row>
    <row r="860">
      <c r="A860" s="2" t="n"/>
      <c r="B860" s="2" t="n"/>
      <c r="C860" s="2" t="n"/>
      <c r="D860" s="8">
        <f>IF(B860="","",IFERROR(INDEX(Товары!$F$2:$F$51,MATCH(B860,Товары!$A$2:$A$51,0)),""))</f>
        <v/>
      </c>
      <c r="E860" s="8">
        <f>IF(OR(B860="",D860=""),"",C860*D860)</f>
        <v/>
      </c>
      <c r="F860" s="8">
        <f>IF(B860="","",IFERROR(C860*INDEX(Товары!$J$2:$J$51,MATCH(B860,Товары!$A$2:$A$51,0)),""))</f>
        <v/>
      </c>
      <c r="G860" s="2">
        <f>IF(A860="","",YEAR(A860)&amp;"-"&amp;TEXT(MONTH(A860),"00"))</f>
        <v/>
      </c>
    </row>
    <row r="861">
      <c r="A861" s="2" t="n"/>
      <c r="B861" s="2" t="n"/>
      <c r="C861" s="2" t="n"/>
      <c r="D861" s="8">
        <f>IF(B861="","",IFERROR(INDEX(Товары!$F$2:$F$51,MATCH(B861,Товары!$A$2:$A$51,0)),""))</f>
        <v/>
      </c>
      <c r="E861" s="8">
        <f>IF(OR(B861="",D861=""),"",C861*D861)</f>
        <v/>
      </c>
      <c r="F861" s="8">
        <f>IF(B861="","",IFERROR(C861*INDEX(Товары!$J$2:$J$51,MATCH(B861,Товары!$A$2:$A$51,0)),""))</f>
        <v/>
      </c>
      <c r="G861" s="2">
        <f>IF(A861="","",YEAR(A861)&amp;"-"&amp;TEXT(MONTH(A861),"00"))</f>
        <v/>
      </c>
    </row>
    <row r="862">
      <c r="A862" s="2" t="n"/>
      <c r="B862" s="2" t="n"/>
      <c r="C862" s="2" t="n"/>
      <c r="D862" s="8">
        <f>IF(B862="","",IFERROR(INDEX(Товары!$F$2:$F$51,MATCH(B862,Товары!$A$2:$A$51,0)),""))</f>
        <v/>
      </c>
      <c r="E862" s="8">
        <f>IF(OR(B862="",D862=""),"",C862*D862)</f>
        <v/>
      </c>
      <c r="F862" s="8">
        <f>IF(B862="","",IFERROR(C862*INDEX(Товары!$J$2:$J$51,MATCH(B862,Товары!$A$2:$A$51,0)),""))</f>
        <v/>
      </c>
      <c r="G862" s="2">
        <f>IF(A862="","",YEAR(A862)&amp;"-"&amp;TEXT(MONTH(A862),"00"))</f>
        <v/>
      </c>
    </row>
    <row r="863">
      <c r="A863" s="2" t="n"/>
      <c r="B863" s="2" t="n"/>
      <c r="C863" s="2" t="n"/>
      <c r="D863" s="8">
        <f>IF(B863="","",IFERROR(INDEX(Товары!$F$2:$F$51,MATCH(B863,Товары!$A$2:$A$51,0)),""))</f>
        <v/>
      </c>
      <c r="E863" s="8">
        <f>IF(OR(B863="",D863=""),"",C863*D863)</f>
        <v/>
      </c>
      <c r="F863" s="8">
        <f>IF(B863="","",IFERROR(C863*INDEX(Товары!$J$2:$J$51,MATCH(B863,Товары!$A$2:$A$51,0)),""))</f>
        <v/>
      </c>
      <c r="G863" s="2">
        <f>IF(A863="","",YEAR(A863)&amp;"-"&amp;TEXT(MONTH(A863),"00"))</f>
        <v/>
      </c>
    </row>
    <row r="864">
      <c r="A864" s="2" t="n"/>
      <c r="B864" s="2" t="n"/>
      <c r="C864" s="2" t="n"/>
      <c r="D864" s="8">
        <f>IF(B864="","",IFERROR(INDEX(Товары!$F$2:$F$51,MATCH(B864,Товары!$A$2:$A$51,0)),""))</f>
        <v/>
      </c>
      <c r="E864" s="8">
        <f>IF(OR(B864="",D864=""),"",C864*D864)</f>
        <v/>
      </c>
      <c r="F864" s="8">
        <f>IF(B864="","",IFERROR(C864*INDEX(Товары!$J$2:$J$51,MATCH(B864,Товары!$A$2:$A$51,0)),""))</f>
        <v/>
      </c>
      <c r="G864" s="2">
        <f>IF(A864="","",YEAR(A864)&amp;"-"&amp;TEXT(MONTH(A864),"00"))</f>
        <v/>
      </c>
    </row>
    <row r="865">
      <c r="A865" s="2" t="n"/>
      <c r="B865" s="2" t="n"/>
      <c r="C865" s="2" t="n"/>
      <c r="D865" s="8">
        <f>IF(B865="","",IFERROR(INDEX(Товары!$F$2:$F$51,MATCH(B865,Товары!$A$2:$A$51,0)),""))</f>
        <v/>
      </c>
      <c r="E865" s="8">
        <f>IF(OR(B865="",D865=""),"",C865*D865)</f>
        <v/>
      </c>
      <c r="F865" s="8">
        <f>IF(B865="","",IFERROR(C865*INDEX(Товары!$J$2:$J$51,MATCH(B865,Товары!$A$2:$A$51,0)),""))</f>
        <v/>
      </c>
      <c r="G865" s="2">
        <f>IF(A865="","",YEAR(A865)&amp;"-"&amp;TEXT(MONTH(A865),"00"))</f>
        <v/>
      </c>
    </row>
    <row r="866">
      <c r="A866" s="2" t="n"/>
      <c r="B866" s="2" t="n"/>
      <c r="C866" s="2" t="n"/>
      <c r="D866" s="8">
        <f>IF(B866="","",IFERROR(INDEX(Товары!$F$2:$F$51,MATCH(B866,Товары!$A$2:$A$51,0)),""))</f>
        <v/>
      </c>
      <c r="E866" s="8">
        <f>IF(OR(B866="",D866=""),"",C866*D866)</f>
        <v/>
      </c>
      <c r="F866" s="8">
        <f>IF(B866="","",IFERROR(C866*INDEX(Товары!$J$2:$J$51,MATCH(B866,Товары!$A$2:$A$51,0)),""))</f>
        <v/>
      </c>
      <c r="G866" s="2">
        <f>IF(A866="","",YEAR(A866)&amp;"-"&amp;TEXT(MONTH(A866),"00"))</f>
        <v/>
      </c>
    </row>
    <row r="867">
      <c r="A867" s="2" t="n"/>
      <c r="B867" s="2" t="n"/>
      <c r="C867" s="2" t="n"/>
      <c r="D867" s="8">
        <f>IF(B867="","",IFERROR(INDEX(Товары!$F$2:$F$51,MATCH(B867,Товары!$A$2:$A$51,0)),""))</f>
        <v/>
      </c>
      <c r="E867" s="8">
        <f>IF(OR(B867="",D867=""),"",C867*D867)</f>
        <v/>
      </c>
      <c r="F867" s="8">
        <f>IF(B867="","",IFERROR(C867*INDEX(Товары!$J$2:$J$51,MATCH(B867,Товары!$A$2:$A$51,0)),""))</f>
        <v/>
      </c>
      <c r="G867" s="2">
        <f>IF(A867="","",YEAR(A867)&amp;"-"&amp;TEXT(MONTH(A867),"00"))</f>
        <v/>
      </c>
    </row>
    <row r="868">
      <c r="A868" s="2" t="n"/>
      <c r="B868" s="2" t="n"/>
      <c r="C868" s="2" t="n"/>
      <c r="D868" s="8">
        <f>IF(B868="","",IFERROR(INDEX(Товары!$F$2:$F$51,MATCH(B868,Товары!$A$2:$A$51,0)),""))</f>
        <v/>
      </c>
      <c r="E868" s="8">
        <f>IF(OR(B868="",D868=""),"",C868*D868)</f>
        <v/>
      </c>
      <c r="F868" s="8">
        <f>IF(B868="","",IFERROR(C868*INDEX(Товары!$J$2:$J$51,MATCH(B868,Товары!$A$2:$A$51,0)),""))</f>
        <v/>
      </c>
      <c r="G868" s="2">
        <f>IF(A868="","",YEAR(A868)&amp;"-"&amp;TEXT(MONTH(A868),"00"))</f>
        <v/>
      </c>
    </row>
    <row r="869">
      <c r="A869" s="2" t="n"/>
      <c r="B869" s="2" t="n"/>
      <c r="C869" s="2" t="n"/>
      <c r="D869" s="8">
        <f>IF(B869="","",IFERROR(INDEX(Товары!$F$2:$F$51,MATCH(B869,Товары!$A$2:$A$51,0)),""))</f>
        <v/>
      </c>
      <c r="E869" s="8">
        <f>IF(OR(B869="",D869=""),"",C869*D869)</f>
        <v/>
      </c>
      <c r="F869" s="8">
        <f>IF(B869="","",IFERROR(C869*INDEX(Товары!$J$2:$J$51,MATCH(B869,Товары!$A$2:$A$51,0)),""))</f>
        <v/>
      </c>
      <c r="G869" s="2">
        <f>IF(A869="","",YEAR(A869)&amp;"-"&amp;TEXT(MONTH(A869),"00"))</f>
        <v/>
      </c>
    </row>
    <row r="870">
      <c r="A870" s="2" t="n"/>
      <c r="B870" s="2" t="n"/>
      <c r="C870" s="2" t="n"/>
      <c r="D870" s="8">
        <f>IF(B870="","",IFERROR(INDEX(Товары!$F$2:$F$51,MATCH(B870,Товары!$A$2:$A$51,0)),""))</f>
        <v/>
      </c>
      <c r="E870" s="8">
        <f>IF(OR(B870="",D870=""),"",C870*D870)</f>
        <v/>
      </c>
      <c r="F870" s="8">
        <f>IF(B870="","",IFERROR(C870*INDEX(Товары!$J$2:$J$51,MATCH(B870,Товары!$A$2:$A$51,0)),""))</f>
        <v/>
      </c>
      <c r="G870" s="2">
        <f>IF(A870="","",YEAR(A870)&amp;"-"&amp;TEXT(MONTH(A870),"00"))</f>
        <v/>
      </c>
    </row>
    <row r="871">
      <c r="A871" s="2" t="n"/>
      <c r="B871" s="2" t="n"/>
      <c r="C871" s="2" t="n"/>
      <c r="D871" s="8">
        <f>IF(B871="","",IFERROR(INDEX(Товары!$F$2:$F$51,MATCH(B871,Товары!$A$2:$A$51,0)),""))</f>
        <v/>
      </c>
      <c r="E871" s="8">
        <f>IF(OR(B871="",D871=""),"",C871*D871)</f>
        <v/>
      </c>
      <c r="F871" s="8">
        <f>IF(B871="","",IFERROR(C871*INDEX(Товары!$J$2:$J$51,MATCH(B871,Товары!$A$2:$A$51,0)),""))</f>
        <v/>
      </c>
      <c r="G871" s="2">
        <f>IF(A871="","",YEAR(A871)&amp;"-"&amp;TEXT(MONTH(A871),"00"))</f>
        <v/>
      </c>
    </row>
    <row r="872">
      <c r="A872" s="2" t="n"/>
      <c r="B872" s="2" t="n"/>
      <c r="C872" s="2" t="n"/>
      <c r="D872" s="8">
        <f>IF(B872="","",IFERROR(INDEX(Товары!$F$2:$F$51,MATCH(B872,Товары!$A$2:$A$51,0)),""))</f>
        <v/>
      </c>
      <c r="E872" s="8">
        <f>IF(OR(B872="",D872=""),"",C872*D872)</f>
        <v/>
      </c>
      <c r="F872" s="8">
        <f>IF(B872="","",IFERROR(C872*INDEX(Товары!$J$2:$J$51,MATCH(B872,Товары!$A$2:$A$51,0)),""))</f>
        <v/>
      </c>
      <c r="G872" s="2">
        <f>IF(A872="","",YEAR(A872)&amp;"-"&amp;TEXT(MONTH(A872),"00"))</f>
        <v/>
      </c>
    </row>
    <row r="873">
      <c r="A873" s="2" t="n"/>
      <c r="B873" s="2" t="n"/>
      <c r="C873" s="2" t="n"/>
      <c r="D873" s="8">
        <f>IF(B873="","",IFERROR(INDEX(Товары!$F$2:$F$51,MATCH(B873,Товары!$A$2:$A$51,0)),""))</f>
        <v/>
      </c>
      <c r="E873" s="8">
        <f>IF(OR(B873="",D873=""),"",C873*D873)</f>
        <v/>
      </c>
      <c r="F873" s="8">
        <f>IF(B873="","",IFERROR(C873*INDEX(Товары!$J$2:$J$51,MATCH(B873,Товары!$A$2:$A$51,0)),""))</f>
        <v/>
      </c>
      <c r="G873" s="2">
        <f>IF(A873="","",YEAR(A873)&amp;"-"&amp;TEXT(MONTH(A873),"00"))</f>
        <v/>
      </c>
    </row>
    <row r="874">
      <c r="A874" s="2" t="n"/>
      <c r="B874" s="2" t="n"/>
      <c r="C874" s="2" t="n"/>
      <c r="D874" s="8">
        <f>IF(B874="","",IFERROR(INDEX(Товары!$F$2:$F$51,MATCH(B874,Товары!$A$2:$A$51,0)),""))</f>
        <v/>
      </c>
      <c r="E874" s="8">
        <f>IF(OR(B874="",D874=""),"",C874*D874)</f>
        <v/>
      </c>
      <c r="F874" s="8">
        <f>IF(B874="","",IFERROR(C874*INDEX(Товары!$J$2:$J$51,MATCH(B874,Товары!$A$2:$A$51,0)),""))</f>
        <v/>
      </c>
      <c r="G874" s="2">
        <f>IF(A874="","",YEAR(A874)&amp;"-"&amp;TEXT(MONTH(A874),"00"))</f>
        <v/>
      </c>
    </row>
    <row r="875">
      <c r="A875" s="2" t="n"/>
      <c r="B875" s="2" t="n"/>
      <c r="C875" s="2" t="n"/>
      <c r="D875" s="8">
        <f>IF(B875="","",IFERROR(INDEX(Товары!$F$2:$F$51,MATCH(B875,Товары!$A$2:$A$51,0)),""))</f>
        <v/>
      </c>
      <c r="E875" s="8">
        <f>IF(OR(B875="",D875=""),"",C875*D875)</f>
        <v/>
      </c>
      <c r="F875" s="8">
        <f>IF(B875="","",IFERROR(C875*INDEX(Товары!$J$2:$J$51,MATCH(B875,Товары!$A$2:$A$51,0)),""))</f>
        <v/>
      </c>
      <c r="G875" s="2">
        <f>IF(A875="","",YEAR(A875)&amp;"-"&amp;TEXT(MONTH(A875),"00"))</f>
        <v/>
      </c>
    </row>
    <row r="876">
      <c r="A876" s="2" t="n"/>
      <c r="B876" s="2" t="n"/>
      <c r="C876" s="2" t="n"/>
      <c r="D876" s="8">
        <f>IF(B876="","",IFERROR(INDEX(Товары!$F$2:$F$51,MATCH(B876,Товары!$A$2:$A$51,0)),""))</f>
        <v/>
      </c>
      <c r="E876" s="8">
        <f>IF(OR(B876="",D876=""),"",C876*D876)</f>
        <v/>
      </c>
      <c r="F876" s="8">
        <f>IF(B876="","",IFERROR(C876*INDEX(Товары!$J$2:$J$51,MATCH(B876,Товары!$A$2:$A$51,0)),""))</f>
        <v/>
      </c>
      <c r="G876" s="2">
        <f>IF(A876="","",YEAR(A876)&amp;"-"&amp;TEXT(MONTH(A876),"00"))</f>
        <v/>
      </c>
    </row>
    <row r="877">
      <c r="A877" s="2" t="n"/>
      <c r="B877" s="2" t="n"/>
      <c r="C877" s="2" t="n"/>
      <c r="D877" s="8">
        <f>IF(B877="","",IFERROR(INDEX(Товары!$F$2:$F$51,MATCH(B877,Товары!$A$2:$A$51,0)),""))</f>
        <v/>
      </c>
      <c r="E877" s="8">
        <f>IF(OR(B877="",D877=""),"",C877*D877)</f>
        <v/>
      </c>
      <c r="F877" s="8">
        <f>IF(B877="","",IFERROR(C877*INDEX(Товары!$J$2:$J$51,MATCH(B877,Товары!$A$2:$A$51,0)),""))</f>
        <v/>
      </c>
      <c r="G877" s="2">
        <f>IF(A877="","",YEAR(A877)&amp;"-"&amp;TEXT(MONTH(A877),"00"))</f>
        <v/>
      </c>
    </row>
    <row r="878">
      <c r="A878" s="2" t="n"/>
      <c r="B878" s="2" t="n"/>
      <c r="C878" s="2" t="n"/>
      <c r="D878" s="8">
        <f>IF(B878="","",IFERROR(INDEX(Товары!$F$2:$F$51,MATCH(B878,Товары!$A$2:$A$51,0)),""))</f>
        <v/>
      </c>
      <c r="E878" s="8">
        <f>IF(OR(B878="",D878=""),"",C878*D878)</f>
        <v/>
      </c>
      <c r="F878" s="8">
        <f>IF(B878="","",IFERROR(C878*INDEX(Товары!$J$2:$J$51,MATCH(B878,Товары!$A$2:$A$51,0)),""))</f>
        <v/>
      </c>
      <c r="G878" s="2">
        <f>IF(A878="","",YEAR(A878)&amp;"-"&amp;TEXT(MONTH(A878),"00"))</f>
        <v/>
      </c>
    </row>
    <row r="879">
      <c r="A879" s="2" t="n"/>
      <c r="B879" s="2" t="n"/>
      <c r="C879" s="2" t="n"/>
      <c r="D879" s="8">
        <f>IF(B879="","",IFERROR(INDEX(Товары!$F$2:$F$51,MATCH(B879,Товары!$A$2:$A$51,0)),""))</f>
        <v/>
      </c>
      <c r="E879" s="8">
        <f>IF(OR(B879="",D879=""),"",C879*D879)</f>
        <v/>
      </c>
      <c r="F879" s="8">
        <f>IF(B879="","",IFERROR(C879*INDEX(Товары!$J$2:$J$51,MATCH(B879,Товары!$A$2:$A$51,0)),""))</f>
        <v/>
      </c>
      <c r="G879" s="2">
        <f>IF(A879="","",YEAR(A879)&amp;"-"&amp;TEXT(MONTH(A879),"00"))</f>
        <v/>
      </c>
    </row>
    <row r="880">
      <c r="A880" s="2" t="n"/>
      <c r="B880" s="2" t="n"/>
      <c r="C880" s="2" t="n"/>
      <c r="D880" s="8">
        <f>IF(B880="","",IFERROR(INDEX(Товары!$F$2:$F$51,MATCH(B880,Товары!$A$2:$A$51,0)),""))</f>
        <v/>
      </c>
      <c r="E880" s="8">
        <f>IF(OR(B880="",D880=""),"",C880*D880)</f>
        <v/>
      </c>
      <c r="F880" s="8">
        <f>IF(B880="","",IFERROR(C880*INDEX(Товары!$J$2:$J$51,MATCH(B880,Товары!$A$2:$A$51,0)),""))</f>
        <v/>
      </c>
      <c r="G880" s="2">
        <f>IF(A880="","",YEAR(A880)&amp;"-"&amp;TEXT(MONTH(A880),"00"))</f>
        <v/>
      </c>
    </row>
    <row r="881">
      <c r="A881" s="2" t="n"/>
      <c r="B881" s="2" t="n"/>
      <c r="C881" s="2" t="n"/>
      <c r="D881" s="8">
        <f>IF(B881="","",IFERROR(INDEX(Товары!$F$2:$F$51,MATCH(B881,Товары!$A$2:$A$51,0)),""))</f>
        <v/>
      </c>
      <c r="E881" s="8">
        <f>IF(OR(B881="",D881=""),"",C881*D881)</f>
        <v/>
      </c>
      <c r="F881" s="8">
        <f>IF(B881="","",IFERROR(C881*INDEX(Товары!$J$2:$J$51,MATCH(B881,Товары!$A$2:$A$51,0)),""))</f>
        <v/>
      </c>
      <c r="G881" s="2">
        <f>IF(A881="","",YEAR(A881)&amp;"-"&amp;TEXT(MONTH(A881),"00"))</f>
        <v/>
      </c>
    </row>
    <row r="882">
      <c r="A882" s="2" t="n"/>
      <c r="B882" s="2" t="n"/>
      <c r="C882" s="2" t="n"/>
      <c r="D882" s="8">
        <f>IF(B882="","",IFERROR(INDEX(Товары!$F$2:$F$51,MATCH(B882,Товары!$A$2:$A$51,0)),""))</f>
        <v/>
      </c>
      <c r="E882" s="8">
        <f>IF(OR(B882="",D882=""),"",C882*D882)</f>
        <v/>
      </c>
      <c r="F882" s="8">
        <f>IF(B882="","",IFERROR(C882*INDEX(Товары!$J$2:$J$51,MATCH(B882,Товары!$A$2:$A$51,0)),""))</f>
        <v/>
      </c>
      <c r="G882" s="2">
        <f>IF(A882="","",YEAR(A882)&amp;"-"&amp;TEXT(MONTH(A882),"00"))</f>
        <v/>
      </c>
    </row>
    <row r="883">
      <c r="A883" s="2" t="n"/>
      <c r="B883" s="2" t="n"/>
      <c r="C883" s="2" t="n"/>
      <c r="D883" s="8">
        <f>IF(B883="","",IFERROR(INDEX(Товары!$F$2:$F$51,MATCH(B883,Товары!$A$2:$A$51,0)),""))</f>
        <v/>
      </c>
      <c r="E883" s="8">
        <f>IF(OR(B883="",D883=""),"",C883*D883)</f>
        <v/>
      </c>
      <c r="F883" s="8">
        <f>IF(B883="","",IFERROR(C883*INDEX(Товары!$J$2:$J$51,MATCH(B883,Товары!$A$2:$A$51,0)),""))</f>
        <v/>
      </c>
      <c r="G883" s="2">
        <f>IF(A883="","",YEAR(A883)&amp;"-"&amp;TEXT(MONTH(A883),"00"))</f>
        <v/>
      </c>
    </row>
    <row r="884">
      <c r="A884" s="2" t="n"/>
      <c r="B884" s="2" t="n"/>
      <c r="C884" s="2" t="n"/>
      <c r="D884" s="8">
        <f>IF(B884="","",IFERROR(INDEX(Товары!$F$2:$F$51,MATCH(B884,Товары!$A$2:$A$51,0)),""))</f>
        <v/>
      </c>
      <c r="E884" s="8">
        <f>IF(OR(B884="",D884=""),"",C884*D884)</f>
        <v/>
      </c>
      <c r="F884" s="8">
        <f>IF(B884="","",IFERROR(C884*INDEX(Товары!$J$2:$J$51,MATCH(B884,Товары!$A$2:$A$51,0)),""))</f>
        <v/>
      </c>
      <c r="G884" s="2">
        <f>IF(A884="","",YEAR(A884)&amp;"-"&amp;TEXT(MONTH(A884),"00"))</f>
        <v/>
      </c>
    </row>
    <row r="885">
      <c r="A885" s="2" t="n"/>
      <c r="B885" s="2" t="n"/>
      <c r="C885" s="2" t="n"/>
      <c r="D885" s="8">
        <f>IF(B885="","",IFERROR(INDEX(Товары!$F$2:$F$51,MATCH(B885,Товары!$A$2:$A$51,0)),""))</f>
        <v/>
      </c>
      <c r="E885" s="8">
        <f>IF(OR(B885="",D885=""),"",C885*D885)</f>
        <v/>
      </c>
      <c r="F885" s="8">
        <f>IF(B885="","",IFERROR(C885*INDEX(Товары!$J$2:$J$51,MATCH(B885,Товары!$A$2:$A$51,0)),""))</f>
        <v/>
      </c>
      <c r="G885" s="2">
        <f>IF(A885="","",YEAR(A885)&amp;"-"&amp;TEXT(MONTH(A885),"00"))</f>
        <v/>
      </c>
    </row>
    <row r="886">
      <c r="A886" s="2" t="n"/>
      <c r="B886" s="2" t="n"/>
      <c r="C886" s="2" t="n"/>
      <c r="D886" s="8">
        <f>IF(B886="","",IFERROR(INDEX(Товары!$F$2:$F$51,MATCH(B886,Товары!$A$2:$A$51,0)),""))</f>
        <v/>
      </c>
      <c r="E886" s="8">
        <f>IF(OR(B886="",D886=""),"",C886*D886)</f>
        <v/>
      </c>
      <c r="F886" s="8">
        <f>IF(B886="","",IFERROR(C886*INDEX(Товары!$J$2:$J$51,MATCH(B886,Товары!$A$2:$A$51,0)),""))</f>
        <v/>
      </c>
      <c r="G886" s="2">
        <f>IF(A886="","",YEAR(A886)&amp;"-"&amp;TEXT(MONTH(A886),"00"))</f>
        <v/>
      </c>
    </row>
    <row r="887">
      <c r="A887" s="2" t="n"/>
      <c r="B887" s="2" t="n"/>
      <c r="C887" s="2" t="n"/>
      <c r="D887" s="8">
        <f>IF(B887="","",IFERROR(INDEX(Товары!$F$2:$F$51,MATCH(B887,Товары!$A$2:$A$51,0)),""))</f>
        <v/>
      </c>
      <c r="E887" s="8">
        <f>IF(OR(B887="",D887=""),"",C887*D887)</f>
        <v/>
      </c>
      <c r="F887" s="8">
        <f>IF(B887="","",IFERROR(C887*INDEX(Товары!$J$2:$J$51,MATCH(B887,Товары!$A$2:$A$51,0)),""))</f>
        <v/>
      </c>
      <c r="G887" s="2">
        <f>IF(A887="","",YEAR(A887)&amp;"-"&amp;TEXT(MONTH(A887),"00"))</f>
        <v/>
      </c>
    </row>
    <row r="888">
      <c r="A888" s="2" t="n"/>
      <c r="B888" s="2" t="n"/>
      <c r="C888" s="2" t="n"/>
      <c r="D888" s="8">
        <f>IF(B888="","",IFERROR(INDEX(Товары!$F$2:$F$51,MATCH(B888,Товары!$A$2:$A$51,0)),""))</f>
        <v/>
      </c>
      <c r="E888" s="8">
        <f>IF(OR(B888="",D888=""),"",C888*D888)</f>
        <v/>
      </c>
      <c r="F888" s="8">
        <f>IF(B888="","",IFERROR(C888*INDEX(Товары!$J$2:$J$51,MATCH(B888,Товары!$A$2:$A$51,0)),""))</f>
        <v/>
      </c>
      <c r="G888" s="2">
        <f>IF(A888="","",YEAR(A888)&amp;"-"&amp;TEXT(MONTH(A888),"00"))</f>
        <v/>
      </c>
    </row>
    <row r="889">
      <c r="A889" s="2" t="n"/>
      <c r="B889" s="2" t="n"/>
      <c r="C889" s="2" t="n"/>
      <c r="D889" s="8">
        <f>IF(B889="","",IFERROR(INDEX(Товары!$F$2:$F$51,MATCH(B889,Товары!$A$2:$A$51,0)),""))</f>
        <v/>
      </c>
      <c r="E889" s="8">
        <f>IF(OR(B889="",D889=""),"",C889*D889)</f>
        <v/>
      </c>
      <c r="F889" s="8">
        <f>IF(B889="","",IFERROR(C889*INDEX(Товары!$J$2:$J$51,MATCH(B889,Товары!$A$2:$A$51,0)),""))</f>
        <v/>
      </c>
      <c r="G889" s="2">
        <f>IF(A889="","",YEAR(A889)&amp;"-"&amp;TEXT(MONTH(A889),"00"))</f>
        <v/>
      </c>
    </row>
    <row r="890">
      <c r="A890" s="2" t="n"/>
      <c r="B890" s="2" t="n"/>
      <c r="C890" s="2" t="n"/>
      <c r="D890" s="8">
        <f>IF(B890="","",IFERROR(INDEX(Товары!$F$2:$F$51,MATCH(B890,Товары!$A$2:$A$51,0)),""))</f>
        <v/>
      </c>
      <c r="E890" s="8">
        <f>IF(OR(B890="",D890=""),"",C890*D890)</f>
        <v/>
      </c>
      <c r="F890" s="8">
        <f>IF(B890="","",IFERROR(C890*INDEX(Товары!$J$2:$J$51,MATCH(B890,Товары!$A$2:$A$51,0)),""))</f>
        <v/>
      </c>
      <c r="G890" s="2">
        <f>IF(A890="","",YEAR(A890)&amp;"-"&amp;TEXT(MONTH(A890),"00"))</f>
        <v/>
      </c>
    </row>
    <row r="891">
      <c r="A891" s="2" t="n"/>
      <c r="B891" s="2" t="n"/>
      <c r="C891" s="2" t="n"/>
      <c r="D891" s="8">
        <f>IF(B891="","",IFERROR(INDEX(Товары!$F$2:$F$51,MATCH(B891,Товары!$A$2:$A$51,0)),""))</f>
        <v/>
      </c>
      <c r="E891" s="8">
        <f>IF(OR(B891="",D891=""),"",C891*D891)</f>
        <v/>
      </c>
      <c r="F891" s="8">
        <f>IF(B891="","",IFERROR(C891*INDEX(Товары!$J$2:$J$51,MATCH(B891,Товары!$A$2:$A$51,0)),""))</f>
        <v/>
      </c>
      <c r="G891" s="2">
        <f>IF(A891="","",YEAR(A891)&amp;"-"&amp;TEXT(MONTH(A891),"00"))</f>
        <v/>
      </c>
    </row>
    <row r="892">
      <c r="A892" s="2" t="n"/>
      <c r="B892" s="2" t="n"/>
      <c r="C892" s="2" t="n"/>
      <c r="D892" s="8">
        <f>IF(B892="","",IFERROR(INDEX(Товары!$F$2:$F$51,MATCH(B892,Товары!$A$2:$A$51,0)),""))</f>
        <v/>
      </c>
      <c r="E892" s="8">
        <f>IF(OR(B892="",D892=""),"",C892*D892)</f>
        <v/>
      </c>
      <c r="F892" s="8">
        <f>IF(B892="","",IFERROR(C892*INDEX(Товары!$J$2:$J$51,MATCH(B892,Товары!$A$2:$A$51,0)),""))</f>
        <v/>
      </c>
      <c r="G892" s="2">
        <f>IF(A892="","",YEAR(A892)&amp;"-"&amp;TEXT(MONTH(A892),"00"))</f>
        <v/>
      </c>
    </row>
    <row r="893">
      <c r="A893" s="2" t="n"/>
      <c r="B893" s="2" t="n"/>
      <c r="C893" s="2" t="n"/>
      <c r="D893" s="8">
        <f>IF(B893="","",IFERROR(INDEX(Товары!$F$2:$F$51,MATCH(B893,Товары!$A$2:$A$51,0)),""))</f>
        <v/>
      </c>
      <c r="E893" s="8">
        <f>IF(OR(B893="",D893=""),"",C893*D893)</f>
        <v/>
      </c>
      <c r="F893" s="8">
        <f>IF(B893="","",IFERROR(C893*INDEX(Товары!$J$2:$J$51,MATCH(B893,Товары!$A$2:$A$51,0)),""))</f>
        <v/>
      </c>
      <c r="G893" s="2">
        <f>IF(A893="","",YEAR(A893)&amp;"-"&amp;TEXT(MONTH(A893),"00"))</f>
        <v/>
      </c>
    </row>
    <row r="894">
      <c r="A894" s="2" t="n"/>
      <c r="B894" s="2" t="n"/>
      <c r="C894" s="2" t="n"/>
      <c r="D894" s="8">
        <f>IF(B894="","",IFERROR(INDEX(Товары!$F$2:$F$51,MATCH(B894,Товары!$A$2:$A$51,0)),""))</f>
        <v/>
      </c>
      <c r="E894" s="8">
        <f>IF(OR(B894="",D894=""),"",C894*D894)</f>
        <v/>
      </c>
      <c r="F894" s="8">
        <f>IF(B894="","",IFERROR(C894*INDEX(Товары!$J$2:$J$51,MATCH(B894,Товары!$A$2:$A$51,0)),""))</f>
        <v/>
      </c>
      <c r="G894" s="2">
        <f>IF(A894="","",YEAR(A894)&amp;"-"&amp;TEXT(MONTH(A894),"00"))</f>
        <v/>
      </c>
    </row>
    <row r="895">
      <c r="A895" s="2" t="n"/>
      <c r="B895" s="2" t="n"/>
      <c r="C895" s="2" t="n"/>
      <c r="D895" s="8">
        <f>IF(B895="","",IFERROR(INDEX(Товары!$F$2:$F$51,MATCH(B895,Товары!$A$2:$A$51,0)),""))</f>
        <v/>
      </c>
      <c r="E895" s="8">
        <f>IF(OR(B895="",D895=""),"",C895*D895)</f>
        <v/>
      </c>
      <c r="F895" s="8">
        <f>IF(B895="","",IFERROR(C895*INDEX(Товары!$J$2:$J$51,MATCH(B895,Товары!$A$2:$A$51,0)),""))</f>
        <v/>
      </c>
      <c r="G895" s="2">
        <f>IF(A895="","",YEAR(A895)&amp;"-"&amp;TEXT(MONTH(A895),"00"))</f>
        <v/>
      </c>
    </row>
    <row r="896">
      <c r="A896" s="2" t="n"/>
      <c r="B896" s="2" t="n"/>
      <c r="C896" s="2" t="n"/>
      <c r="D896" s="8">
        <f>IF(B896="","",IFERROR(INDEX(Товары!$F$2:$F$51,MATCH(B896,Товары!$A$2:$A$51,0)),""))</f>
        <v/>
      </c>
      <c r="E896" s="8">
        <f>IF(OR(B896="",D896=""),"",C896*D896)</f>
        <v/>
      </c>
      <c r="F896" s="8">
        <f>IF(B896="","",IFERROR(C896*INDEX(Товары!$J$2:$J$51,MATCH(B896,Товары!$A$2:$A$51,0)),""))</f>
        <v/>
      </c>
      <c r="G896" s="2">
        <f>IF(A896="","",YEAR(A896)&amp;"-"&amp;TEXT(MONTH(A896),"00"))</f>
        <v/>
      </c>
    </row>
    <row r="897">
      <c r="A897" s="2" t="n"/>
      <c r="B897" s="2" t="n"/>
      <c r="C897" s="2" t="n"/>
      <c r="D897" s="8">
        <f>IF(B897="","",IFERROR(INDEX(Товары!$F$2:$F$51,MATCH(B897,Товары!$A$2:$A$51,0)),""))</f>
        <v/>
      </c>
      <c r="E897" s="8">
        <f>IF(OR(B897="",D897=""),"",C897*D897)</f>
        <v/>
      </c>
      <c r="F897" s="8">
        <f>IF(B897="","",IFERROR(C897*INDEX(Товары!$J$2:$J$51,MATCH(B897,Товары!$A$2:$A$51,0)),""))</f>
        <v/>
      </c>
      <c r="G897" s="2">
        <f>IF(A897="","",YEAR(A897)&amp;"-"&amp;TEXT(MONTH(A897),"00"))</f>
        <v/>
      </c>
    </row>
    <row r="898">
      <c r="A898" s="2" t="n"/>
      <c r="B898" s="2" t="n"/>
      <c r="C898" s="2" t="n"/>
      <c r="D898" s="8">
        <f>IF(B898="","",IFERROR(INDEX(Товары!$F$2:$F$51,MATCH(B898,Товары!$A$2:$A$51,0)),""))</f>
        <v/>
      </c>
      <c r="E898" s="8">
        <f>IF(OR(B898="",D898=""),"",C898*D898)</f>
        <v/>
      </c>
      <c r="F898" s="8">
        <f>IF(B898="","",IFERROR(C898*INDEX(Товары!$J$2:$J$51,MATCH(B898,Товары!$A$2:$A$51,0)),""))</f>
        <v/>
      </c>
      <c r="G898" s="2">
        <f>IF(A898="","",YEAR(A898)&amp;"-"&amp;TEXT(MONTH(A898),"00"))</f>
        <v/>
      </c>
    </row>
    <row r="899">
      <c r="A899" s="2" t="n"/>
      <c r="B899" s="2" t="n"/>
      <c r="C899" s="2" t="n"/>
      <c r="D899" s="8">
        <f>IF(B899="","",IFERROR(INDEX(Товары!$F$2:$F$51,MATCH(B899,Товары!$A$2:$A$51,0)),""))</f>
        <v/>
      </c>
      <c r="E899" s="8">
        <f>IF(OR(B899="",D899=""),"",C899*D899)</f>
        <v/>
      </c>
      <c r="F899" s="8">
        <f>IF(B899="","",IFERROR(C899*INDEX(Товары!$J$2:$J$51,MATCH(B899,Товары!$A$2:$A$51,0)),""))</f>
        <v/>
      </c>
      <c r="G899" s="2">
        <f>IF(A899="","",YEAR(A899)&amp;"-"&amp;TEXT(MONTH(A899),"00"))</f>
        <v/>
      </c>
    </row>
    <row r="900">
      <c r="A900" s="2" t="n"/>
      <c r="B900" s="2" t="n"/>
      <c r="C900" s="2" t="n"/>
      <c r="D900" s="8">
        <f>IF(B900="","",IFERROR(INDEX(Товары!$F$2:$F$51,MATCH(B900,Товары!$A$2:$A$51,0)),""))</f>
        <v/>
      </c>
      <c r="E900" s="8">
        <f>IF(OR(B900="",D900=""),"",C900*D900)</f>
        <v/>
      </c>
      <c r="F900" s="8">
        <f>IF(B900="","",IFERROR(C900*INDEX(Товары!$J$2:$J$51,MATCH(B900,Товары!$A$2:$A$51,0)),""))</f>
        <v/>
      </c>
      <c r="G900" s="2">
        <f>IF(A900="","",YEAR(A900)&amp;"-"&amp;TEXT(MONTH(A900),"00"))</f>
        <v/>
      </c>
    </row>
    <row r="901">
      <c r="A901" s="2" t="n"/>
      <c r="B901" s="2" t="n"/>
      <c r="C901" s="2" t="n"/>
      <c r="D901" s="8">
        <f>IF(B901="","",IFERROR(INDEX(Товары!$F$2:$F$51,MATCH(B901,Товары!$A$2:$A$51,0)),""))</f>
        <v/>
      </c>
      <c r="E901" s="8">
        <f>IF(OR(B901="",D901=""),"",C901*D901)</f>
        <v/>
      </c>
      <c r="F901" s="8">
        <f>IF(B901="","",IFERROR(C901*INDEX(Товары!$J$2:$J$51,MATCH(B901,Товары!$A$2:$A$51,0)),""))</f>
        <v/>
      </c>
      <c r="G901" s="2">
        <f>IF(A901="","",YEAR(A901)&amp;"-"&amp;TEXT(MONTH(A901),"00"))</f>
        <v/>
      </c>
    </row>
    <row r="902">
      <c r="A902" s="2" t="n"/>
      <c r="B902" s="2" t="n"/>
      <c r="C902" s="2" t="n"/>
      <c r="D902" s="8">
        <f>IF(B902="","",IFERROR(INDEX(Товары!$F$2:$F$51,MATCH(B902,Товары!$A$2:$A$51,0)),""))</f>
        <v/>
      </c>
      <c r="E902" s="8">
        <f>IF(OR(B902="",D902=""),"",C902*D902)</f>
        <v/>
      </c>
      <c r="F902" s="8">
        <f>IF(B902="","",IFERROR(C902*INDEX(Товары!$J$2:$J$51,MATCH(B902,Товары!$A$2:$A$51,0)),""))</f>
        <v/>
      </c>
      <c r="G902" s="2">
        <f>IF(A902="","",YEAR(A902)&amp;"-"&amp;TEXT(MONTH(A902),"00"))</f>
        <v/>
      </c>
    </row>
    <row r="903">
      <c r="A903" s="2" t="n"/>
      <c r="B903" s="2" t="n"/>
      <c r="C903" s="2" t="n"/>
      <c r="D903" s="8">
        <f>IF(B903="","",IFERROR(INDEX(Товары!$F$2:$F$51,MATCH(B903,Товары!$A$2:$A$51,0)),""))</f>
        <v/>
      </c>
      <c r="E903" s="8">
        <f>IF(OR(B903="",D903=""),"",C903*D903)</f>
        <v/>
      </c>
      <c r="F903" s="8">
        <f>IF(B903="","",IFERROR(C903*INDEX(Товары!$J$2:$J$51,MATCH(B903,Товары!$A$2:$A$51,0)),""))</f>
        <v/>
      </c>
      <c r="G903" s="2">
        <f>IF(A903="","",YEAR(A903)&amp;"-"&amp;TEXT(MONTH(A903),"00"))</f>
        <v/>
      </c>
    </row>
    <row r="904">
      <c r="A904" s="2" t="n"/>
      <c r="B904" s="2" t="n"/>
      <c r="C904" s="2" t="n"/>
      <c r="D904" s="8">
        <f>IF(B904="","",IFERROR(INDEX(Товары!$F$2:$F$51,MATCH(B904,Товары!$A$2:$A$51,0)),""))</f>
        <v/>
      </c>
      <c r="E904" s="8">
        <f>IF(OR(B904="",D904=""),"",C904*D904)</f>
        <v/>
      </c>
      <c r="F904" s="8">
        <f>IF(B904="","",IFERROR(C904*INDEX(Товары!$J$2:$J$51,MATCH(B904,Товары!$A$2:$A$51,0)),""))</f>
        <v/>
      </c>
      <c r="G904" s="2">
        <f>IF(A904="","",YEAR(A904)&amp;"-"&amp;TEXT(MONTH(A904),"00"))</f>
        <v/>
      </c>
    </row>
    <row r="905">
      <c r="A905" s="2" t="n"/>
      <c r="B905" s="2" t="n"/>
      <c r="C905" s="2" t="n"/>
      <c r="D905" s="8">
        <f>IF(B905="","",IFERROR(INDEX(Товары!$F$2:$F$51,MATCH(B905,Товары!$A$2:$A$51,0)),""))</f>
        <v/>
      </c>
      <c r="E905" s="8">
        <f>IF(OR(B905="",D905=""),"",C905*D905)</f>
        <v/>
      </c>
      <c r="F905" s="8">
        <f>IF(B905="","",IFERROR(C905*INDEX(Товары!$J$2:$J$51,MATCH(B905,Товары!$A$2:$A$51,0)),""))</f>
        <v/>
      </c>
      <c r="G905" s="2">
        <f>IF(A905="","",YEAR(A905)&amp;"-"&amp;TEXT(MONTH(A905),"00"))</f>
        <v/>
      </c>
    </row>
    <row r="906">
      <c r="A906" s="2" t="n"/>
      <c r="B906" s="2" t="n"/>
      <c r="C906" s="2" t="n"/>
      <c r="D906" s="8">
        <f>IF(B906="","",IFERROR(INDEX(Товары!$F$2:$F$51,MATCH(B906,Товары!$A$2:$A$51,0)),""))</f>
        <v/>
      </c>
      <c r="E906" s="8">
        <f>IF(OR(B906="",D906=""),"",C906*D906)</f>
        <v/>
      </c>
      <c r="F906" s="8">
        <f>IF(B906="","",IFERROR(C906*INDEX(Товары!$J$2:$J$51,MATCH(B906,Товары!$A$2:$A$51,0)),""))</f>
        <v/>
      </c>
      <c r="G906" s="2">
        <f>IF(A906="","",YEAR(A906)&amp;"-"&amp;TEXT(MONTH(A906),"00"))</f>
        <v/>
      </c>
    </row>
    <row r="907">
      <c r="A907" s="2" t="n"/>
      <c r="B907" s="2" t="n"/>
      <c r="C907" s="2" t="n"/>
      <c r="D907" s="8">
        <f>IF(B907="","",IFERROR(INDEX(Товары!$F$2:$F$51,MATCH(B907,Товары!$A$2:$A$51,0)),""))</f>
        <v/>
      </c>
      <c r="E907" s="8">
        <f>IF(OR(B907="",D907=""),"",C907*D907)</f>
        <v/>
      </c>
      <c r="F907" s="8">
        <f>IF(B907="","",IFERROR(C907*INDEX(Товары!$J$2:$J$51,MATCH(B907,Товары!$A$2:$A$51,0)),""))</f>
        <v/>
      </c>
      <c r="G907" s="2">
        <f>IF(A907="","",YEAR(A907)&amp;"-"&amp;TEXT(MONTH(A907),"00"))</f>
        <v/>
      </c>
    </row>
    <row r="908">
      <c r="A908" s="2" t="n"/>
      <c r="B908" s="2" t="n"/>
      <c r="C908" s="2" t="n"/>
      <c r="D908" s="8">
        <f>IF(B908="","",IFERROR(INDEX(Товары!$F$2:$F$51,MATCH(B908,Товары!$A$2:$A$51,0)),""))</f>
        <v/>
      </c>
      <c r="E908" s="8">
        <f>IF(OR(B908="",D908=""),"",C908*D908)</f>
        <v/>
      </c>
      <c r="F908" s="8">
        <f>IF(B908="","",IFERROR(C908*INDEX(Товары!$J$2:$J$51,MATCH(B908,Товары!$A$2:$A$51,0)),""))</f>
        <v/>
      </c>
      <c r="G908" s="2">
        <f>IF(A908="","",YEAR(A908)&amp;"-"&amp;TEXT(MONTH(A908),"00"))</f>
        <v/>
      </c>
    </row>
    <row r="909">
      <c r="A909" s="2" t="n"/>
      <c r="B909" s="2" t="n"/>
      <c r="C909" s="2" t="n"/>
      <c r="D909" s="8">
        <f>IF(B909="","",IFERROR(INDEX(Товары!$F$2:$F$51,MATCH(B909,Товары!$A$2:$A$51,0)),""))</f>
        <v/>
      </c>
      <c r="E909" s="8">
        <f>IF(OR(B909="",D909=""),"",C909*D909)</f>
        <v/>
      </c>
      <c r="F909" s="8">
        <f>IF(B909="","",IFERROR(C909*INDEX(Товары!$J$2:$J$51,MATCH(B909,Товары!$A$2:$A$51,0)),""))</f>
        <v/>
      </c>
      <c r="G909" s="2">
        <f>IF(A909="","",YEAR(A909)&amp;"-"&amp;TEXT(MONTH(A909),"00"))</f>
        <v/>
      </c>
    </row>
    <row r="910">
      <c r="A910" s="2" t="n"/>
      <c r="B910" s="2" t="n"/>
      <c r="C910" s="2" t="n"/>
      <c r="D910" s="8">
        <f>IF(B910="","",IFERROR(INDEX(Товары!$F$2:$F$51,MATCH(B910,Товары!$A$2:$A$51,0)),""))</f>
        <v/>
      </c>
      <c r="E910" s="8">
        <f>IF(OR(B910="",D910=""),"",C910*D910)</f>
        <v/>
      </c>
      <c r="F910" s="8">
        <f>IF(B910="","",IFERROR(C910*INDEX(Товары!$J$2:$J$51,MATCH(B910,Товары!$A$2:$A$51,0)),""))</f>
        <v/>
      </c>
      <c r="G910" s="2">
        <f>IF(A910="","",YEAR(A910)&amp;"-"&amp;TEXT(MONTH(A910),"00"))</f>
        <v/>
      </c>
    </row>
    <row r="911">
      <c r="A911" s="2" t="n"/>
      <c r="B911" s="2" t="n"/>
      <c r="C911" s="2" t="n"/>
      <c r="D911" s="8">
        <f>IF(B911="","",IFERROR(INDEX(Товары!$F$2:$F$51,MATCH(B911,Товары!$A$2:$A$51,0)),""))</f>
        <v/>
      </c>
      <c r="E911" s="8">
        <f>IF(OR(B911="",D911=""),"",C911*D911)</f>
        <v/>
      </c>
      <c r="F911" s="8">
        <f>IF(B911="","",IFERROR(C911*INDEX(Товары!$J$2:$J$51,MATCH(B911,Товары!$A$2:$A$51,0)),""))</f>
        <v/>
      </c>
      <c r="G911" s="2">
        <f>IF(A911="","",YEAR(A911)&amp;"-"&amp;TEXT(MONTH(A911),"00"))</f>
        <v/>
      </c>
    </row>
    <row r="912">
      <c r="A912" s="2" t="n"/>
      <c r="B912" s="2" t="n"/>
      <c r="C912" s="2" t="n"/>
      <c r="D912" s="8">
        <f>IF(B912="","",IFERROR(INDEX(Товары!$F$2:$F$51,MATCH(B912,Товары!$A$2:$A$51,0)),""))</f>
        <v/>
      </c>
      <c r="E912" s="8">
        <f>IF(OR(B912="",D912=""),"",C912*D912)</f>
        <v/>
      </c>
      <c r="F912" s="8">
        <f>IF(B912="","",IFERROR(C912*INDEX(Товары!$J$2:$J$51,MATCH(B912,Товары!$A$2:$A$51,0)),""))</f>
        <v/>
      </c>
      <c r="G912" s="2">
        <f>IF(A912="","",YEAR(A912)&amp;"-"&amp;TEXT(MONTH(A912),"00"))</f>
        <v/>
      </c>
    </row>
    <row r="913">
      <c r="A913" s="2" t="n"/>
      <c r="B913" s="2" t="n"/>
      <c r="C913" s="2" t="n"/>
      <c r="D913" s="8">
        <f>IF(B913="","",IFERROR(INDEX(Товары!$F$2:$F$51,MATCH(B913,Товары!$A$2:$A$51,0)),""))</f>
        <v/>
      </c>
      <c r="E913" s="8">
        <f>IF(OR(B913="",D913=""),"",C913*D913)</f>
        <v/>
      </c>
      <c r="F913" s="8">
        <f>IF(B913="","",IFERROR(C913*INDEX(Товары!$J$2:$J$51,MATCH(B913,Товары!$A$2:$A$51,0)),""))</f>
        <v/>
      </c>
      <c r="G913" s="2">
        <f>IF(A913="","",YEAR(A913)&amp;"-"&amp;TEXT(MONTH(A913),"00"))</f>
        <v/>
      </c>
    </row>
    <row r="914">
      <c r="A914" s="2" t="n"/>
      <c r="B914" s="2" t="n"/>
      <c r="C914" s="2" t="n"/>
      <c r="D914" s="8">
        <f>IF(B914="","",IFERROR(INDEX(Товары!$F$2:$F$51,MATCH(B914,Товары!$A$2:$A$51,0)),""))</f>
        <v/>
      </c>
      <c r="E914" s="8">
        <f>IF(OR(B914="",D914=""),"",C914*D914)</f>
        <v/>
      </c>
      <c r="F914" s="8">
        <f>IF(B914="","",IFERROR(C914*INDEX(Товары!$J$2:$J$51,MATCH(B914,Товары!$A$2:$A$51,0)),""))</f>
        <v/>
      </c>
      <c r="G914" s="2">
        <f>IF(A914="","",YEAR(A914)&amp;"-"&amp;TEXT(MONTH(A914),"00"))</f>
        <v/>
      </c>
    </row>
    <row r="915">
      <c r="A915" s="2" t="n"/>
      <c r="B915" s="2" t="n"/>
      <c r="C915" s="2" t="n"/>
      <c r="D915" s="8">
        <f>IF(B915="","",IFERROR(INDEX(Товары!$F$2:$F$51,MATCH(B915,Товары!$A$2:$A$51,0)),""))</f>
        <v/>
      </c>
      <c r="E915" s="8">
        <f>IF(OR(B915="",D915=""),"",C915*D915)</f>
        <v/>
      </c>
      <c r="F915" s="8">
        <f>IF(B915="","",IFERROR(C915*INDEX(Товары!$J$2:$J$51,MATCH(B915,Товары!$A$2:$A$51,0)),""))</f>
        <v/>
      </c>
      <c r="G915" s="2">
        <f>IF(A915="","",YEAR(A915)&amp;"-"&amp;TEXT(MONTH(A915),"00"))</f>
        <v/>
      </c>
    </row>
    <row r="916">
      <c r="A916" s="2" t="n"/>
      <c r="B916" s="2" t="n"/>
      <c r="C916" s="2" t="n"/>
      <c r="D916" s="8">
        <f>IF(B916="","",IFERROR(INDEX(Товары!$F$2:$F$51,MATCH(B916,Товары!$A$2:$A$51,0)),""))</f>
        <v/>
      </c>
      <c r="E916" s="8">
        <f>IF(OR(B916="",D916=""),"",C916*D916)</f>
        <v/>
      </c>
      <c r="F916" s="8">
        <f>IF(B916="","",IFERROR(C916*INDEX(Товары!$J$2:$J$51,MATCH(B916,Товары!$A$2:$A$51,0)),""))</f>
        <v/>
      </c>
      <c r="G916" s="2">
        <f>IF(A916="","",YEAR(A916)&amp;"-"&amp;TEXT(MONTH(A916),"00"))</f>
        <v/>
      </c>
    </row>
    <row r="917">
      <c r="A917" s="2" t="n"/>
      <c r="B917" s="2" t="n"/>
      <c r="C917" s="2" t="n"/>
      <c r="D917" s="8">
        <f>IF(B917="","",IFERROR(INDEX(Товары!$F$2:$F$51,MATCH(B917,Товары!$A$2:$A$51,0)),""))</f>
        <v/>
      </c>
      <c r="E917" s="8">
        <f>IF(OR(B917="",D917=""),"",C917*D917)</f>
        <v/>
      </c>
      <c r="F917" s="8">
        <f>IF(B917="","",IFERROR(C917*INDEX(Товары!$J$2:$J$51,MATCH(B917,Товары!$A$2:$A$51,0)),""))</f>
        <v/>
      </c>
      <c r="G917" s="2">
        <f>IF(A917="","",YEAR(A917)&amp;"-"&amp;TEXT(MONTH(A917),"00"))</f>
        <v/>
      </c>
    </row>
    <row r="918">
      <c r="A918" s="2" t="n"/>
      <c r="B918" s="2" t="n"/>
      <c r="C918" s="2" t="n"/>
      <c r="D918" s="8">
        <f>IF(B918="","",IFERROR(INDEX(Товары!$F$2:$F$51,MATCH(B918,Товары!$A$2:$A$51,0)),""))</f>
        <v/>
      </c>
      <c r="E918" s="8">
        <f>IF(OR(B918="",D918=""),"",C918*D918)</f>
        <v/>
      </c>
      <c r="F918" s="8">
        <f>IF(B918="","",IFERROR(C918*INDEX(Товары!$J$2:$J$51,MATCH(B918,Товары!$A$2:$A$51,0)),""))</f>
        <v/>
      </c>
      <c r="G918" s="2">
        <f>IF(A918="","",YEAR(A918)&amp;"-"&amp;TEXT(MONTH(A918),"00"))</f>
        <v/>
      </c>
    </row>
    <row r="919">
      <c r="A919" s="2" t="n"/>
      <c r="B919" s="2" t="n"/>
      <c r="C919" s="2" t="n"/>
      <c r="D919" s="8">
        <f>IF(B919="","",IFERROR(INDEX(Товары!$F$2:$F$51,MATCH(B919,Товары!$A$2:$A$51,0)),""))</f>
        <v/>
      </c>
      <c r="E919" s="8">
        <f>IF(OR(B919="",D919=""),"",C919*D919)</f>
        <v/>
      </c>
      <c r="F919" s="8">
        <f>IF(B919="","",IFERROR(C919*INDEX(Товары!$J$2:$J$51,MATCH(B919,Товары!$A$2:$A$51,0)),""))</f>
        <v/>
      </c>
      <c r="G919" s="2">
        <f>IF(A919="","",YEAR(A919)&amp;"-"&amp;TEXT(MONTH(A919),"00"))</f>
        <v/>
      </c>
    </row>
    <row r="920">
      <c r="A920" s="2" t="n"/>
      <c r="B920" s="2" t="n"/>
      <c r="C920" s="2" t="n"/>
      <c r="D920" s="8">
        <f>IF(B920="","",IFERROR(INDEX(Товары!$F$2:$F$51,MATCH(B920,Товары!$A$2:$A$51,0)),""))</f>
        <v/>
      </c>
      <c r="E920" s="8">
        <f>IF(OR(B920="",D920=""),"",C920*D920)</f>
        <v/>
      </c>
      <c r="F920" s="8">
        <f>IF(B920="","",IFERROR(C920*INDEX(Товары!$J$2:$J$51,MATCH(B920,Товары!$A$2:$A$51,0)),""))</f>
        <v/>
      </c>
      <c r="G920" s="2">
        <f>IF(A920="","",YEAR(A920)&amp;"-"&amp;TEXT(MONTH(A920),"00"))</f>
        <v/>
      </c>
    </row>
    <row r="921">
      <c r="A921" s="2" t="n"/>
      <c r="B921" s="2" t="n"/>
      <c r="C921" s="2" t="n"/>
      <c r="D921" s="8">
        <f>IF(B921="","",IFERROR(INDEX(Товары!$F$2:$F$51,MATCH(B921,Товары!$A$2:$A$51,0)),""))</f>
        <v/>
      </c>
      <c r="E921" s="8">
        <f>IF(OR(B921="",D921=""),"",C921*D921)</f>
        <v/>
      </c>
      <c r="F921" s="8">
        <f>IF(B921="","",IFERROR(C921*INDEX(Товары!$J$2:$J$51,MATCH(B921,Товары!$A$2:$A$51,0)),""))</f>
        <v/>
      </c>
      <c r="G921" s="2">
        <f>IF(A921="","",YEAR(A921)&amp;"-"&amp;TEXT(MONTH(A921),"00"))</f>
        <v/>
      </c>
    </row>
    <row r="922">
      <c r="A922" s="2" t="n"/>
      <c r="B922" s="2" t="n"/>
      <c r="C922" s="2" t="n"/>
      <c r="D922" s="8">
        <f>IF(B922="","",IFERROR(INDEX(Товары!$F$2:$F$51,MATCH(B922,Товары!$A$2:$A$51,0)),""))</f>
        <v/>
      </c>
      <c r="E922" s="8">
        <f>IF(OR(B922="",D922=""),"",C922*D922)</f>
        <v/>
      </c>
      <c r="F922" s="8">
        <f>IF(B922="","",IFERROR(C922*INDEX(Товары!$J$2:$J$51,MATCH(B922,Товары!$A$2:$A$51,0)),""))</f>
        <v/>
      </c>
      <c r="G922" s="2">
        <f>IF(A922="","",YEAR(A922)&amp;"-"&amp;TEXT(MONTH(A922),"00"))</f>
        <v/>
      </c>
    </row>
    <row r="923">
      <c r="A923" s="2" t="n"/>
      <c r="B923" s="2" t="n"/>
      <c r="C923" s="2" t="n"/>
      <c r="D923" s="8">
        <f>IF(B923="","",IFERROR(INDEX(Товары!$F$2:$F$51,MATCH(B923,Товары!$A$2:$A$51,0)),""))</f>
        <v/>
      </c>
      <c r="E923" s="8">
        <f>IF(OR(B923="",D923=""),"",C923*D923)</f>
        <v/>
      </c>
      <c r="F923" s="8">
        <f>IF(B923="","",IFERROR(C923*INDEX(Товары!$J$2:$J$51,MATCH(B923,Товары!$A$2:$A$51,0)),""))</f>
        <v/>
      </c>
      <c r="G923" s="2">
        <f>IF(A923="","",YEAR(A923)&amp;"-"&amp;TEXT(MONTH(A923),"00"))</f>
        <v/>
      </c>
    </row>
    <row r="924">
      <c r="A924" s="2" t="n"/>
      <c r="B924" s="2" t="n"/>
      <c r="C924" s="2" t="n"/>
      <c r="D924" s="8">
        <f>IF(B924="","",IFERROR(INDEX(Товары!$F$2:$F$51,MATCH(B924,Товары!$A$2:$A$51,0)),""))</f>
        <v/>
      </c>
      <c r="E924" s="8">
        <f>IF(OR(B924="",D924=""),"",C924*D924)</f>
        <v/>
      </c>
      <c r="F924" s="8">
        <f>IF(B924="","",IFERROR(C924*INDEX(Товары!$J$2:$J$51,MATCH(B924,Товары!$A$2:$A$51,0)),""))</f>
        <v/>
      </c>
      <c r="G924" s="2">
        <f>IF(A924="","",YEAR(A924)&amp;"-"&amp;TEXT(MONTH(A924),"00"))</f>
        <v/>
      </c>
    </row>
    <row r="925">
      <c r="A925" s="2" t="n"/>
      <c r="B925" s="2" t="n"/>
      <c r="C925" s="2" t="n"/>
      <c r="D925" s="8">
        <f>IF(B925="","",IFERROR(INDEX(Товары!$F$2:$F$51,MATCH(B925,Товары!$A$2:$A$51,0)),""))</f>
        <v/>
      </c>
      <c r="E925" s="8">
        <f>IF(OR(B925="",D925=""),"",C925*D925)</f>
        <v/>
      </c>
      <c r="F925" s="8">
        <f>IF(B925="","",IFERROR(C925*INDEX(Товары!$J$2:$J$51,MATCH(B925,Товары!$A$2:$A$51,0)),""))</f>
        <v/>
      </c>
      <c r="G925" s="2">
        <f>IF(A925="","",YEAR(A925)&amp;"-"&amp;TEXT(MONTH(A925),"00"))</f>
        <v/>
      </c>
    </row>
    <row r="926">
      <c r="A926" s="2" t="n"/>
      <c r="B926" s="2" t="n"/>
      <c r="C926" s="2" t="n"/>
      <c r="D926" s="8">
        <f>IF(B926="","",IFERROR(INDEX(Товары!$F$2:$F$51,MATCH(B926,Товары!$A$2:$A$51,0)),""))</f>
        <v/>
      </c>
      <c r="E926" s="8">
        <f>IF(OR(B926="",D926=""),"",C926*D926)</f>
        <v/>
      </c>
      <c r="F926" s="8">
        <f>IF(B926="","",IFERROR(C926*INDEX(Товары!$J$2:$J$51,MATCH(B926,Товары!$A$2:$A$51,0)),""))</f>
        <v/>
      </c>
      <c r="G926" s="2">
        <f>IF(A926="","",YEAR(A926)&amp;"-"&amp;TEXT(MONTH(A926),"00"))</f>
        <v/>
      </c>
    </row>
    <row r="927">
      <c r="A927" s="2" t="n"/>
      <c r="B927" s="2" t="n"/>
      <c r="C927" s="2" t="n"/>
      <c r="D927" s="8">
        <f>IF(B927="","",IFERROR(INDEX(Товары!$F$2:$F$51,MATCH(B927,Товары!$A$2:$A$51,0)),""))</f>
        <v/>
      </c>
      <c r="E927" s="8">
        <f>IF(OR(B927="",D927=""),"",C927*D927)</f>
        <v/>
      </c>
      <c r="F927" s="8">
        <f>IF(B927="","",IFERROR(C927*INDEX(Товары!$J$2:$J$51,MATCH(B927,Товары!$A$2:$A$51,0)),""))</f>
        <v/>
      </c>
      <c r="G927" s="2">
        <f>IF(A927="","",YEAR(A927)&amp;"-"&amp;TEXT(MONTH(A927),"00"))</f>
        <v/>
      </c>
    </row>
    <row r="928">
      <c r="A928" s="2" t="n"/>
      <c r="B928" s="2" t="n"/>
      <c r="C928" s="2" t="n"/>
      <c r="D928" s="8">
        <f>IF(B928="","",IFERROR(INDEX(Товары!$F$2:$F$51,MATCH(B928,Товары!$A$2:$A$51,0)),""))</f>
        <v/>
      </c>
      <c r="E928" s="8">
        <f>IF(OR(B928="",D928=""),"",C928*D928)</f>
        <v/>
      </c>
      <c r="F928" s="8">
        <f>IF(B928="","",IFERROR(C928*INDEX(Товары!$J$2:$J$51,MATCH(B928,Товары!$A$2:$A$51,0)),""))</f>
        <v/>
      </c>
      <c r="G928" s="2">
        <f>IF(A928="","",YEAR(A928)&amp;"-"&amp;TEXT(MONTH(A928),"00"))</f>
        <v/>
      </c>
    </row>
    <row r="929">
      <c r="A929" s="2" t="n"/>
      <c r="B929" s="2" t="n"/>
      <c r="C929" s="2" t="n"/>
      <c r="D929" s="8">
        <f>IF(B929="","",IFERROR(INDEX(Товары!$F$2:$F$51,MATCH(B929,Товары!$A$2:$A$51,0)),""))</f>
        <v/>
      </c>
      <c r="E929" s="8">
        <f>IF(OR(B929="",D929=""),"",C929*D929)</f>
        <v/>
      </c>
      <c r="F929" s="8">
        <f>IF(B929="","",IFERROR(C929*INDEX(Товары!$J$2:$J$51,MATCH(B929,Товары!$A$2:$A$51,0)),""))</f>
        <v/>
      </c>
      <c r="G929" s="2">
        <f>IF(A929="","",YEAR(A929)&amp;"-"&amp;TEXT(MONTH(A929),"00"))</f>
        <v/>
      </c>
    </row>
    <row r="930">
      <c r="A930" s="2" t="n"/>
      <c r="B930" s="2" t="n"/>
      <c r="C930" s="2" t="n"/>
      <c r="D930" s="8">
        <f>IF(B930="","",IFERROR(INDEX(Товары!$F$2:$F$51,MATCH(B930,Товары!$A$2:$A$51,0)),""))</f>
        <v/>
      </c>
      <c r="E930" s="8">
        <f>IF(OR(B930="",D930=""),"",C930*D930)</f>
        <v/>
      </c>
      <c r="F930" s="8">
        <f>IF(B930="","",IFERROR(C930*INDEX(Товары!$J$2:$J$51,MATCH(B930,Товары!$A$2:$A$51,0)),""))</f>
        <v/>
      </c>
      <c r="G930" s="2">
        <f>IF(A930="","",YEAR(A930)&amp;"-"&amp;TEXT(MONTH(A930),"00"))</f>
        <v/>
      </c>
    </row>
    <row r="931">
      <c r="A931" s="2" t="n"/>
      <c r="B931" s="2" t="n"/>
      <c r="C931" s="2" t="n"/>
      <c r="D931" s="8">
        <f>IF(B931="","",IFERROR(INDEX(Товары!$F$2:$F$51,MATCH(B931,Товары!$A$2:$A$51,0)),""))</f>
        <v/>
      </c>
      <c r="E931" s="8">
        <f>IF(OR(B931="",D931=""),"",C931*D931)</f>
        <v/>
      </c>
      <c r="F931" s="8">
        <f>IF(B931="","",IFERROR(C931*INDEX(Товары!$J$2:$J$51,MATCH(B931,Товары!$A$2:$A$51,0)),""))</f>
        <v/>
      </c>
      <c r="G931" s="2">
        <f>IF(A931="","",YEAR(A931)&amp;"-"&amp;TEXT(MONTH(A931),"00"))</f>
        <v/>
      </c>
    </row>
    <row r="932">
      <c r="A932" s="2" t="n"/>
      <c r="B932" s="2" t="n"/>
      <c r="C932" s="2" t="n"/>
      <c r="D932" s="8">
        <f>IF(B932="","",IFERROR(INDEX(Товары!$F$2:$F$51,MATCH(B932,Товары!$A$2:$A$51,0)),""))</f>
        <v/>
      </c>
      <c r="E932" s="8">
        <f>IF(OR(B932="",D932=""),"",C932*D932)</f>
        <v/>
      </c>
      <c r="F932" s="8">
        <f>IF(B932="","",IFERROR(C932*INDEX(Товары!$J$2:$J$51,MATCH(B932,Товары!$A$2:$A$51,0)),""))</f>
        <v/>
      </c>
      <c r="G932" s="2">
        <f>IF(A932="","",YEAR(A932)&amp;"-"&amp;TEXT(MONTH(A932),"00"))</f>
        <v/>
      </c>
    </row>
    <row r="933">
      <c r="A933" s="2" t="n"/>
      <c r="B933" s="2" t="n"/>
      <c r="C933" s="2" t="n"/>
      <c r="D933" s="8">
        <f>IF(B933="","",IFERROR(INDEX(Товары!$F$2:$F$51,MATCH(B933,Товары!$A$2:$A$51,0)),""))</f>
        <v/>
      </c>
      <c r="E933" s="8">
        <f>IF(OR(B933="",D933=""),"",C933*D933)</f>
        <v/>
      </c>
      <c r="F933" s="8">
        <f>IF(B933="","",IFERROR(C933*INDEX(Товары!$J$2:$J$51,MATCH(B933,Товары!$A$2:$A$51,0)),""))</f>
        <v/>
      </c>
      <c r="G933" s="2">
        <f>IF(A933="","",YEAR(A933)&amp;"-"&amp;TEXT(MONTH(A933),"00"))</f>
        <v/>
      </c>
    </row>
    <row r="934">
      <c r="A934" s="2" t="n"/>
      <c r="B934" s="2" t="n"/>
      <c r="C934" s="2" t="n"/>
      <c r="D934" s="8">
        <f>IF(B934="","",IFERROR(INDEX(Товары!$F$2:$F$51,MATCH(B934,Товары!$A$2:$A$51,0)),""))</f>
        <v/>
      </c>
      <c r="E934" s="8">
        <f>IF(OR(B934="",D934=""),"",C934*D934)</f>
        <v/>
      </c>
      <c r="F934" s="8">
        <f>IF(B934="","",IFERROR(C934*INDEX(Товары!$J$2:$J$51,MATCH(B934,Товары!$A$2:$A$51,0)),""))</f>
        <v/>
      </c>
      <c r="G934" s="2">
        <f>IF(A934="","",YEAR(A934)&amp;"-"&amp;TEXT(MONTH(A934),"00"))</f>
        <v/>
      </c>
    </row>
    <row r="935">
      <c r="A935" s="2" t="n"/>
      <c r="B935" s="2" t="n"/>
      <c r="C935" s="2" t="n"/>
      <c r="D935" s="8">
        <f>IF(B935="","",IFERROR(INDEX(Товары!$F$2:$F$51,MATCH(B935,Товары!$A$2:$A$51,0)),""))</f>
        <v/>
      </c>
      <c r="E935" s="8">
        <f>IF(OR(B935="",D935=""),"",C935*D935)</f>
        <v/>
      </c>
      <c r="F935" s="8">
        <f>IF(B935="","",IFERROR(C935*INDEX(Товары!$J$2:$J$51,MATCH(B935,Товары!$A$2:$A$51,0)),""))</f>
        <v/>
      </c>
      <c r="G935" s="2">
        <f>IF(A935="","",YEAR(A935)&amp;"-"&amp;TEXT(MONTH(A935),"00"))</f>
        <v/>
      </c>
    </row>
    <row r="936">
      <c r="A936" s="2" t="n"/>
      <c r="B936" s="2" t="n"/>
      <c r="C936" s="2" t="n"/>
      <c r="D936" s="8">
        <f>IF(B936="","",IFERROR(INDEX(Товары!$F$2:$F$51,MATCH(B936,Товары!$A$2:$A$51,0)),""))</f>
        <v/>
      </c>
      <c r="E936" s="8">
        <f>IF(OR(B936="",D936=""),"",C936*D936)</f>
        <v/>
      </c>
      <c r="F936" s="8">
        <f>IF(B936="","",IFERROR(C936*INDEX(Товары!$J$2:$J$51,MATCH(B936,Товары!$A$2:$A$51,0)),""))</f>
        <v/>
      </c>
      <c r="G936" s="2">
        <f>IF(A936="","",YEAR(A936)&amp;"-"&amp;TEXT(MONTH(A936),"00"))</f>
        <v/>
      </c>
    </row>
    <row r="937">
      <c r="A937" s="2" t="n"/>
      <c r="B937" s="2" t="n"/>
      <c r="C937" s="2" t="n"/>
      <c r="D937" s="8">
        <f>IF(B937="","",IFERROR(INDEX(Товары!$F$2:$F$51,MATCH(B937,Товары!$A$2:$A$51,0)),""))</f>
        <v/>
      </c>
      <c r="E937" s="8">
        <f>IF(OR(B937="",D937=""),"",C937*D937)</f>
        <v/>
      </c>
      <c r="F937" s="8">
        <f>IF(B937="","",IFERROR(C937*INDEX(Товары!$J$2:$J$51,MATCH(B937,Товары!$A$2:$A$51,0)),""))</f>
        <v/>
      </c>
      <c r="G937" s="2">
        <f>IF(A937="","",YEAR(A937)&amp;"-"&amp;TEXT(MONTH(A937),"00"))</f>
        <v/>
      </c>
    </row>
    <row r="938">
      <c r="A938" s="2" t="n"/>
      <c r="B938" s="2" t="n"/>
      <c r="C938" s="2" t="n"/>
      <c r="D938" s="8">
        <f>IF(B938="","",IFERROR(INDEX(Товары!$F$2:$F$51,MATCH(B938,Товары!$A$2:$A$51,0)),""))</f>
        <v/>
      </c>
      <c r="E938" s="8">
        <f>IF(OR(B938="",D938=""),"",C938*D938)</f>
        <v/>
      </c>
      <c r="F938" s="8">
        <f>IF(B938="","",IFERROR(C938*INDEX(Товары!$J$2:$J$51,MATCH(B938,Товары!$A$2:$A$51,0)),""))</f>
        <v/>
      </c>
      <c r="G938" s="2">
        <f>IF(A938="","",YEAR(A938)&amp;"-"&amp;TEXT(MONTH(A938),"00"))</f>
        <v/>
      </c>
    </row>
    <row r="939">
      <c r="A939" s="2" t="n"/>
      <c r="B939" s="2" t="n"/>
      <c r="C939" s="2" t="n"/>
      <c r="D939" s="8">
        <f>IF(B939="","",IFERROR(INDEX(Товары!$F$2:$F$51,MATCH(B939,Товары!$A$2:$A$51,0)),""))</f>
        <v/>
      </c>
      <c r="E939" s="8">
        <f>IF(OR(B939="",D939=""),"",C939*D939)</f>
        <v/>
      </c>
      <c r="F939" s="8">
        <f>IF(B939="","",IFERROR(C939*INDEX(Товары!$J$2:$J$51,MATCH(B939,Товары!$A$2:$A$51,0)),""))</f>
        <v/>
      </c>
      <c r="G939" s="2">
        <f>IF(A939="","",YEAR(A939)&amp;"-"&amp;TEXT(MONTH(A939),"00"))</f>
        <v/>
      </c>
    </row>
    <row r="940">
      <c r="A940" s="2" t="n"/>
      <c r="B940" s="2" t="n"/>
      <c r="C940" s="2" t="n"/>
      <c r="D940" s="8">
        <f>IF(B940="","",IFERROR(INDEX(Товары!$F$2:$F$51,MATCH(B940,Товары!$A$2:$A$51,0)),""))</f>
        <v/>
      </c>
      <c r="E940" s="8">
        <f>IF(OR(B940="",D940=""),"",C940*D940)</f>
        <v/>
      </c>
      <c r="F940" s="8">
        <f>IF(B940="","",IFERROR(C940*INDEX(Товары!$J$2:$J$51,MATCH(B940,Товары!$A$2:$A$51,0)),""))</f>
        <v/>
      </c>
      <c r="G940" s="2">
        <f>IF(A940="","",YEAR(A940)&amp;"-"&amp;TEXT(MONTH(A940),"00"))</f>
        <v/>
      </c>
    </row>
    <row r="941">
      <c r="A941" s="2" t="n"/>
      <c r="B941" s="2" t="n"/>
      <c r="C941" s="2" t="n"/>
      <c r="D941" s="8">
        <f>IF(B941="","",IFERROR(INDEX(Товары!$F$2:$F$51,MATCH(B941,Товары!$A$2:$A$51,0)),""))</f>
        <v/>
      </c>
      <c r="E941" s="8">
        <f>IF(OR(B941="",D941=""),"",C941*D941)</f>
        <v/>
      </c>
      <c r="F941" s="8">
        <f>IF(B941="","",IFERROR(C941*INDEX(Товары!$J$2:$J$51,MATCH(B941,Товары!$A$2:$A$51,0)),""))</f>
        <v/>
      </c>
      <c r="G941" s="2">
        <f>IF(A941="","",YEAR(A941)&amp;"-"&amp;TEXT(MONTH(A941),"00"))</f>
        <v/>
      </c>
    </row>
    <row r="942">
      <c r="A942" s="2" t="n"/>
      <c r="B942" s="2" t="n"/>
      <c r="C942" s="2" t="n"/>
      <c r="D942" s="8">
        <f>IF(B942="","",IFERROR(INDEX(Товары!$F$2:$F$51,MATCH(B942,Товары!$A$2:$A$51,0)),""))</f>
        <v/>
      </c>
      <c r="E942" s="8">
        <f>IF(OR(B942="",D942=""),"",C942*D942)</f>
        <v/>
      </c>
      <c r="F942" s="8">
        <f>IF(B942="","",IFERROR(C942*INDEX(Товары!$J$2:$J$51,MATCH(B942,Товары!$A$2:$A$51,0)),""))</f>
        <v/>
      </c>
      <c r="G942" s="2">
        <f>IF(A942="","",YEAR(A942)&amp;"-"&amp;TEXT(MONTH(A942),"00"))</f>
        <v/>
      </c>
    </row>
    <row r="943">
      <c r="A943" s="2" t="n"/>
      <c r="B943" s="2" t="n"/>
      <c r="C943" s="2" t="n"/>
      <c r="D943" s="8">
        <f>IF(B943="","",IFERROR(INDEX(Товары!$F$2:$F$51,MATCH(B943,Товары!$A$2:$A$51,0)),""))</f>
        <v/>
      </c>
      <c r="E943" s="8">
        <f>IF(OR(B943="",D943=""),"",C943*D943)</f>
        <v/>
      </c>
      <c r="F943" s="8">
        <f>IF(B943="","",IFERROR(C943*INDEX(Товары!$J$2:$J$51,MATCH(B943,Товары!$A$2:$A$51,0)),""))</f>
        <v/>
      </c>
      <c r="G943" s="2">
        <f>IF(A943="","",YEAR(A943)&amp;"-"&amp;TEXT(MONTH(A943),"00"))</f>
        <v/>
      </c>
    </row>
    <row r="944">
      <c r="A944" s="2" t="n"/>
      <c r="B944" s="2" t="n"/>
      <c r="C944" s="2" t="n"/>
      <c r="D944" s="8">
        <f>IF(B944="","",IFERROR(INDEX(Товары!$F$2:$F$51,MATCH(B944,Товары!$A$2:$A$51,0)),""))</f>
        <v/>
      </c>
      <c r="E944" s="8">
        <f>IF(OR(B944="",D944=""),"",C944*D944)</f>
        <v/>
      </c>
      <c r="F944" s="8">
        <f>IF(B944="","",IFERROR(C944*INDEX(Товары!$J$2:$J$51,MATCH(B944,Товары!$A$2:$A$51,0)),""))</f>
        <v/>
      </c>
      <c r="G944" s="2">
        <f>IF(A944="","",YEAR(A944)&amp;"-"&amp;TEXT(MONTH(A944),"00"))</f>
        <v/>
      </c>
    </row>
    <row r="945">
      <c r="A945" s="2" t="n"/>
      <c r="B945" s="2" t="n"/>
      <c r="C945" s="2" t="n"/>
      <c r="D945" s="8">
        <f>IF(B945="","",IFERROR(INDEX(Товары!$F$2:$F$51,MATCH(B945,Товары!$A$2:$A$51,0)),""))</f>
        <v/>
      </c>
      <c r="E945" s="8">
        <f>IF(OR(B945="",D945=""),"",C945*D945)</f>
        <v/>
      </c>
      <c r="F945" s="8">
        <f>IF(B945="","",IFERROR(C945*INDEX(Товары!$J$2:$J$51,MATCH(B945,Товары!$A$2:$A$51,0)),""))</f>
        <v/>
      </c>
      <c r="G945" s="2">
        <f>IF(A945="","",YEAR(A945)&amp;"-"&amp;TEXT(MONTH(A945),"00"))</f>
        <v/>
      </c>
    </row>
    <row r="946">
      <c r="A946" s="2" t="n"/>
      <c r="B946" s="2" t="n"/>
      <c r="C946" s="2" t="n"/>
      <c r="D946" s="8">
        <f>IF(B946="","",IFERROR(INDEX(Товары!$F$2:$F$51,MATCH(B946,Товары!$A$2:$A$51,0)),""))</f>
        <v/>
      </c>
      <c r="E946" s="8">
        <f>IF(OR(B946="",D946=""),"",C946*D946)</f>
        <v/>
      </c>
      <c r="F946" s="8">
        <f>IF(B946="","",IFERROR(C946*INDEX(Товары!$J$2:$J$51,MATCH(B946,Товары!$A$2:$A$51,0)),""))</f>
        <v/>
      </c>
      <c r="G946" s="2">
        <f>IF(A946="","",YEAR(A946)&amp;"-"&amp;TEXT(MONTH(A946),"00"))</f>
        <v/>
      </c>
    </row>
    <row r="947">
      <c r="A947" s="2" t="n"/>
      <c r="B947" s="2" t="n"/>
      <c r="C947" s="2" t="n"/>
      <c r="D947" s="8">
        <f>IF(B947="","",IFERROR(INDEX(Товары!$F$2:$F$51,MATCH(B947,Товары!$A$2:$A$51,0)),""))</f>
        <v/>
      </c>
      <c r="E947" s="8">
        <f>IF(OR(B947="",D947=""),"",C947*D947)</f>
        <v/>
      </c>
      <c r="F947" s="8">
        <f>IF(B947="","",IFERROR(C947*INDEX(Товары!$J$2:$J$51,MATCH(B947,Товары!$A$2:$A$51,0)),""))</f>
        <v/>
      </c>
      <c r="G947" s="2">
        <f>IF(A947="","",YEAR(A947)&amp;"-"&amp;TEXT(MONTH(A947),"00"))</f>
        <v/>
      </c>
    </row>
    <row r="948">
      <c r="A948" s="2" t="n"/>
      <c r="B948" s="2" t="n"/>
      <c r="C948" s="2" t="n"/>
      <c r="D948" s="8">
        <f>IF(B948="","",IFERROR(INDEX(Товары!$F$2:$F$51,MATCH(B948,Товары!$A$2:$A$51,0)),""))</f>
        <v/>
      </c>
      <c r="E948" s="8">
        <f>IF(OR(B948="",D948=""),"",C948*D948)</f>
        <v/>
      </c>
      <c r="F948" s="8">
        <f>IF(B948="","",IFERROR(C948*INDEX(Товары!$J$2:$J$51,MATCH(B948,Товары!$A$2:$A$51,0)),""))</f>
        <v/>
      </c>
      <c r="G948" s="2">
        <f>IF(A948="","",YEAR(A948)&amp;"-"&amp;TEXT(MONTH(A948),"00"))</f>
        <v/>
      </c>
    </row>
    <row r="949">
      <c r="A949" s="2" t="n"/>
      <c r="B949" s="2" t="n"/>
      <c r="C949" s="2" t="n"/>
      <c r="D949" s="8">
        <f>IF(B949="","",IFERROR(INDEX(Товары!$F$2:$F$51,MATCH(B949,Товары!$A$2:$A$51,0)),""))</f>
        <v/>
      </c>
      <c r="E949" s="8">
        <f>IF(OR(B949="",D949=""),"",C949*D949)</f>
        <v/>
      </c>
      <c r="F949" s="8">
        <f>IF(B949="","",IFERROR(C949*INDEX(Товары!$J$2:$J$51,MATCH(B949,Товары!$A$2:$A$51,0)),""))</f>
        <v/>
      </c>
      <c r="G949" s="2">
        <f>IF(A949="","",YEAR(A949)&amp;"-"&amp;TEXT(MONTH(A949),"00"))</f>
        <v/>
      </c>
    </row>
    <row r="950">
      <c r="A950" s="2" t="n"/>
      <c r="B950" s="2" t="n"/>
      <c r="C950" s="2" t="n"/>
      <c r="D950" s="8">
        <f>IF(B950="","",IFERROR(INDEX(Товары!$F$2:$F$51,MATCH(B950,Товары!$A$2:$A$51,0)),""))</f>
        <v/>
      </c>
      <c r="E950" s="8">
        <f>IF(OR(B950="",D950=""),"",C950*D950)</f>
        <v/>
      </c>
      <c r="F950" s="8">
        <f>IF(B950="","",IFERROR(C950*INDEX(Товары!$J$2:$J$51,MATCH(B950,Товары!$A$2:$A$51,0)),""))</f>
        <v/>
      </c>
      <c r="G950" s="2">
        <f>IF(A950="","",YEAR(A950)&amp;"-"&amp;TEXT(MONTH(A950),"00"))</f>
        <v/>
      </c>
    </row>
    <row r="951">
      <c r="A951" s="2" t="n"/>
      <c r="B951" s="2" t="n"/>
      <c r="C951" s="2" t="n"/>
      <c r="D951" s="8">
        <f>IF(B951="","",IFERROR(INDEX(Товары!$F$2:$F$51,MATCH(B951,Товары!$A$2:$A$51,0)),""))</f>
        <v/>
      </c>
      <c r="E951" s="8">
        <f>IF(OR(B951="",D951=""),"",C951*D951)</f>
        <v/>
      </c>
      <c r="F951" s="8">
        <f>IF(B951="","",IFERROR(C951*INDEX(Товары!$J$2:$J$51,MATCH(B951,Товары!$A$2:$A$51,0)),""))</f>
        <v/>
      </c>
      <c r="G951" s="2">
        <f>IF(A951="","",YEAR(A951)&amp;"-"&amp;TEXT(MONTH(A951),"00"))</f>
        <v/>
      </c>
    </row>
    <row r="952">
      <c r="A952" s="2" t="n"/>
      <c r="B952" s="2" t="n"/>
      <c r="C952" s="2" t="n"/>
      <c r="D952" s="8">
        <f>IF(B952="","",IFERROR(INDEX(Товары!$F$2:$F$51,MATCH(B952,Товары!$A$2:$A$51,0)),""))</f>
        <v/>
      </c>
      <c r="E952" s="8">
        <f>IF(OR(B952="",D952=""),"",C952*D952)</f>
        <v/>
      </c>
      <c r="F952" s="8">
        <f>IF(B952="","",IFERROR(C952*INDEX(Товары!$J$2:$J$51,MATCH(B952,Товары!$A$2:$A$51,0)),""))</f>
        <v/>
      </c>
      <c r="G952" s="2">
        <f>IF(A952="","",YEAR(A952)&amp;"-"&amp;TEXT(MONTH(A952),"00"))</f>
        <v/>
      </c>
    </row>
    <row r="953">
      <c r="A953" s="2" t="n"/>
      <c r="B953" s="2" t="n"/>
      <c r="C953" s="2" t="n"/>
      <c r="D953" s="8">
        <f>IF(B953="","",IFERROR(INDEX(Товары!$F$2:$F$51,MATCH(B953,Товары!$A$2:$A$51,0)),""))</f>
        <v/>
      </c>
      <c r="E953" s="8">
        <f>IF(OR(B953="",D953=""),"",C953*D953)</f>
        <v/>
      </c>
      <c r="F953" s="8">
        <f>IF(B953="","",IFERROR(C953*INDEX(Товары!$J$2:$J$51,MATCH(B953,Товары!$A$2:$A$51,0)),""))</f>
        <v/>
      </c>
      <c r="G953" s="2">
        <f>IF(A953="","",YEAR(A953)&amp;"-"&amp;TEXT(MONTH(A953),"00"))</f>
        <v/>
      </c>
    </row>
    <row r="954">
      <c r="A954" s="2" t="n"/>
      <c r="B954" s="2" t="n"/>
      <c r="C954" s="2" t="n"/>
      <c r="D954" s="8">
        <f>IF(B954="","",IFERROR(INDEX(Товары!$F$2:$F$51,MATCH(B954,Товары!$A$2:$A$51,0)),""))</f>
        <v/>
      </c>
      <c r="E954" s="8">
        <f>IF(OR(B954="",D954=""),"",C954*D954)</f>
        <v/>
      </c>
      <c r="F954" s="8">
        <f>IF(B954="","",IFERROR(C954*INDEX(Товары!$J$2:$J$51,MATCH(B954,Товары!$A$2:$A$51,0)),""))</f>
        <v/>
      </c>
      <c r="G954" s="2">
        <f>IF(A954="","",YEAR(A954)&amp;"-"&amp;TEXT(MONTH(A954),"00"))</f>
        <v/>
      </c>
    </row>
    <row r="955">
      <c r="A955" s="2" t="n"/>
      <c r="B955" s="2" t="n"/>
      <c r="C955" s="2" t="n"/>
      <c r="D955" s="8">
        <f>IF(B955="","",IFERROR(INDEX(Товары!$F$2:$F$51,MATCH(B955,Товары!$A$2:$A$51,0)),""))</f>
        <v/>
      </c>
      <c r="E955" s="8">
        <f>IF(OR(B955="",D955=""),"",C955*D955)</f>
        <v/>
      </c>
      <c r="F955" s="8">
        <f>IF(B955="","",IFERROR(C955*INDEX(Товары!$J$2:$J$51,MATCH(B955,Товары!$A$2:$A$51,0)),""))</f>
        <v/>
      </c>
      <c r="G955" s="2">
        <f>IF(A955="","",YEAR(A955)&amp;"-"&amp;TEXT(MONTH(A955),"00"))</f>
        <v/>
      </c>
    </row>
    <row r="956">
      <c r="A956" s="2" t="n"/>
      <c r="B956" s="2" t="n"/>
      <c r="C956" s="2" t="n"/>
      <c r="D956" s="8">
        <f>IF(B956="","",IFERROR(INDEX(Товары!$F$2:$F$51,MATCH(B956,Товары!$A$2:$A$51,0)),""))</f>
        <v/>
      </c>
      <c r="E956" s="8">
        <f>IF(OR(B956="",D956=""),"",C956*D956)</f>
        <v/>
      </c>
      <c r="F956" s="8">
        <f>IF(B956="","",IFERROR(C956*INDEX(Товары!$J$2:$J$51,MATCH(B956,Товары!$A$2:$A$51,0)),""))</f>
        <v/>
      </c>
      <c r="G956" s="2">
        <f>IF(A956="","",YEAR(A956)&amp;"-"&amp;TEXT(MONTH(A956),"00"))</f>
        <v/>
      </c>
    </row>
    <row r="957">
      <c r="A957" s="2" t="n"/>
      <c r="B957" s="2" t="n"/>
      <c r="C957" s="2" t="n"/>
      <c r="D957" s="8">
        <f>IF(B957="","",IFERROR(INDEX(Товары!$F$2:$F$51,MATCH(B957,Товары!$A$2:$A$51,0)),""))</f>
        <v/>
      </c>
      <c r="E957" s="8">
        <f>IF(OR(B957="",D957=""),"",C957*D957)</f>
        <v/>
      </c>
      <c r="F957" s="8">
        <f>IF(B957="","",IFERROR(C957*INDEX(Товары!$J$2:$J$51,MATCH(B957,Товары!$A$2:$A$51,0)),""))</f>
        <v/>
      </c>
      <c r="G957" s="2">
        <f>IF(A957="","",YEAR(A957)&amp;"-"&amp;TEXT(MONTH(A957),"00"))</f>
        <v/>
      </c>
    </row>
    <row r="958">
      <c r="A958" s="2" t="n"/>
      <c r="B958" s="2" t="n"/>
      <c r="C958" s="2" t="n"/>
      <c r="D958" s="8">
        <f>IF(B958="","",IFERROR(INDEX(Товары!$F$2:$F$51,MATCH(B958,Товары!$A$2:$A$51,0)),""))</f>
        <v/>
      </c>
      <c r="E958" s="8">
        <f>IF(OR(B958="",D958=""),"",C958*D958)</f>
        <v/>
      </c>
      <c r="F958" s="8">
        <f>IF(B958="","",IFERROR(C958*INDEX(Товары!$J$2:$J$51,MATCH(B958,Товары!$A$2:$A$51,0)),""))</f>
        <v/>
      </c>
      <c r="G958" s="2">
        <f>IF(A958="","",YEAR(A958)&amp;"-"&amp;TEXT(MONTH(A958),"00"))</f>
        <v/>
      </c>
    </row>
    <row r="959">
      <c r="A959" s="2" t="n"/>
      <c r="B959" s="2" t="n"/>
      <c r="C959" s="2" t="n"/>
      <c r="D959" s="8">
        <f>IF(B959="","",IFERROR(INDEX(Товары!$F$2:$F$51,MATCH(B959,Товары!$A$2:$A$51,0)),""))</f>
        <v/>
      </c>
      <c r="E959" s="8">
        <f>IF(OR(B959="",D959=""),"",C959*D959)</f>
        <v/>
      </c>
      <c r="F959" s="8">
        <f>IF(B959="","",IFERROR(C959*INDEX(Товары!$J$2:$J$51,MATCH(B959,Товары!$A$2:$A$51,0)),""))</f>
        <v/>
      </c>
      <c r="G959" s="2">
        <f>IF(A959="","",YEAR(A959)&amp;"-"&amp;TEXT(MONTH(A959),"00"))</f>
        <v/>
      </c>
    </row>
    <row r="960">
      <c r="A960" s="2" t="n"/>
      <c r="B960" s="2" t="n"/>
      <c r="C960" s="2" t="n"/>
      <c r="D960" s="8">
        <f>IF(B960="","",IFERROR(INDEX(Товары!$F$2:$F$51,MATCH(B960,Товары!$A$2:$A$51,0)),""))</f>
        <v/>
      </c>
      <c r="E960" s="8">
        <f>IF(OR(B960="",D960=""),"",C960*D960)</f>
        <v/>
      </c>
      <c r="F960" s="8">
        <f>IF(B960="","",IFERROR(C960*INDEX(Товары!$J$2:$J$51,MATCH(B960,Товары!$A$2:$A$51,0)),""))</f>
        <v/>
      </c>
      <c r="G960" s="2">
        <f>IF(A960="","",YEAR(A960)&amp;"-"&amp;TEXT(MONTH(A960),"00"))</f>
        <v/>
      </c>
    </row>
    <row r="961">
      <c r="A961" s="2" t="n"/>
      <c r="B961" s="2" t="n"/>
      <c r="C961" s="2" t="n"/>
      <c r="D961" s="8">
        <f>IF(B961="","",IFERROR(INDEX(Товары!$F$2:$F$51,MATCH(B961,Товары!$A$2:$A$51,0)),""))</f>
        <v/>
      </c>
      <c r="E961" s="8">
        <f>IF(OR(B961="",D961=""),"",C961*D961)</f>
        <v/>
      </c>
      <c r="F961" s="8">
        <f>IF(B961="","",IFERROR(C961*INDEX(Товары!$J$2:$J$51,MATCH(B961,Товары!$A$2:$A$51,0)),""))</f>
        <v/>
      </c>
      <c r="G961" s="2">
        <f>IF(A961="","",YEAR(A961)&amp;"-"&amp;TEXT(MONTH(A961),"00"))</f>
        <v/>
      </c>
    </row>
    <row r="962">
      <c r="A962" s="2" t="n"/>
      <c r="B962" s="2" t="n"/>
      <c r="C962" s="2" t="n"/>
      <c r="D962" s="8">
        <f>IF(B962="","",IFERROR(INDEX(Товары!$F$2:$F$51,MATCH(B962,Товары!$A$2:$A$51,0)),""))</f>
        <v/>
      </c>
      <c r="E962" s="8">
        <f>IF(OR(B962="",D962=""),"",C962*D962)</f>
        <v/>
      </c>
      <c r="F962" s="8">
        <f>IF(B962="","",IFERROR(C962*INDEX(Товары!$J$2:$J$51,MATCH(B962,Товары!$A$2:$A$51,0)),""))</f>
        <v/>
      </c>
      <c r="G962" s="2">
        <f>IF(A962="","",YEAR(A962)&amp;"-"&amp;TEXT(MONTH(A962),"00"))</f>
        <v/>
      </c>
    </row>
    <row r="963">
      <c r="A963" s="2" t="n"/>
      <c r="B963" s="2" t="n"/>
      <c r="C963" s="2" t="n"/>
      <c r="D963" s="8">
        <f>IF(B963="","",IFERROR(INDEX(Товары!$F$2:$F$51,MATCH(B963,Товары!$A$2:$A$51,0)),""))</f>
        <v/>
      </c>
      <c r="E963" s="8">
        <f>IF(OR(B963="",D963=""),"",C963*D963)</f>
        <v/>
      </c>
      <c r="F963" s="8">
        <f>IF(B963="","",IFERROR(C963*INDEX(Товары!$J$2:$J$51,MATCH(B963,Товары!$A$2:$A$51,0)),""))</f>
        <v/>
      </c>
      <c r="G963" s="2">
        <f>IF(A963="","",YEAR(A963)&amp;"-"&amp;TEXT(MONTH(A963),"00"))</f>
        <v/>
      </c>
    </row>
    <row r="964">
      <c r="A964" s="2" t="n"/>
      <c r="B964" s="2" t="n"/>
      <c r="C964" s="2" t="n"/>
      <c r="D964" s="8">
        <f>IF(B964="","",IFERROR(INDEX(Товары!$F$2:$F$51,MATCH(B964,Товары!$A$2:$A$51,0)),""))</f>
        <v/>
      </c>
      <c r="E964" s="8">
        <f>IF(OR(B964="",D964=""),"",C964*D964)</f>
        <v/>
      </c>
      <c r="F964" s="8">
        <f>IF(B964="","",IFERROR(C964*INDEX(Товары!$J$2:$J$51,MATCH(B964,Товары!$A$2:$A$51,0)),""))</f>
        <v/>
      </c>
      <c r="G964" s="2">
        <f>IF(A964="","",YEAR(A964)&amp;"-"&amp;TEXT(MONTH(A964),"00"))</f>
        <v/>
      </c>
    </row>
    <row r="965">
      <c r="A965" s="2" t="n"/>
      <c r="B965" s="2" t="n"/>
      <c r="C965" s="2" t="n"/>
      <c r="D965" s="8">
        <f>IF(B965="","",IFERROR(INDEX(Товары!$F$2:$F$51,MATCH(B965,Товары!$A$2:$A$51,0)),""))</f>
        <v/>
      </c>
      <c r="E965" s="8">
        <f>IF(OR(B965="",D965=""),"",C965*D965)</f>
        <v/>
      </c>
      <c r="F965" s="8">
        <f>IF(B965="","",IFERROR(C965*INDEX(Товары!$J$2:$J$51,MATCH(B965,Товары!$A$2:$A$51,0)),""))</f>
        <v/>
      </c>
      <c r="G965" s="2">
        <f>IF(A965="","",YEAR(A965)&amp;"-"&amp;TEXT(MONTH(A965),"00"))</f>
        <v/>
      </c>
    </row>
    <row r="966">
      <c r="A966" s="2" t="n"/>
      <c r="B966" s="2" t="n"/>
      <c r="C966" s="2" t="n"/>
      <c r="D966" s="8">
        <f>IF(B966="","",IFERROR(INDEX(Товары!$F$2:$F$51,MATCH(B966,Товары!$A$2:$A$51,0)),""))</f>
        <v/>
      </c>
      <c r="E966" s="8">
        <f>IF(OR(B966="",D966=""),"",C966*D966)</f>
        <v/>
      </c>
      <c r="F966" s="8">
        <f>IF(B966="","",IFERROR(C966*INDEX(Товары!$J$2:$J$51,MATCH(B966,Товары!$A$2:$A$51,0)),""))</f>
        <v/>
      </c>
      <c r="G966" s="2">
        <f>IF(A966="","",YEAR(A966)&amp;"-"&amp;TEXT(MONTH(A966),"00"))</f>
        <v/>
      </c>
    </row>
    <row r="967">
      <c r="A967" s="2" t="n"/>
      <c r="B967" s="2" t="n"/>
      <c r="C967" s="2" t="n"/>
      <c r="D967" s="8">
        <f>IF(B967="","",IFERROR(INDEX(Товары!$F$2:$F$51,MATCH(B967,Товары!$A$2:$A$51,0)),""))</f>
        <v/>
      </c>
      <c r="E967" s="8">
        <f>IF(OR(B967="",D967=""),"",C967*D967)</f>
        <v/>
      </c>
      <c r="F967" s="8">
        <f>IF(B967="","",IFERROR(C967*INDEX(Товары!$J$2:$J$51,MATCH(B967,Товары!$A$2:$A$51,0)),""))</f>
        <v/>
      </c>
      <c r="G967" s="2">
        <f>IF(A967="","",YEAR(A967)&amp;"-"&amp;TEXT(MONTH(A967),"00"))</f>
        <v/>
      </c>
    </row>
    <row r="968">
      <c r="A968" s="2" t="n"/>
      <c r="B968" s="2" t="n"/>
      <c r="C968" s="2" t="n"/>
      <c r="D968" s="8">
        <f>IF(B968="","",IFERROR(INDEX(Товары!$F$2:$F$51,MATCH(B968,Товары!$A$2:$A$51,0)),""))</f>
        <v/>
      </c>
      <c r="E968" s="8">
        <f>IF(OR(B968="",D968=""),"",C968*D968)</f>
        <v/>
      </c>
      <c r="F968" s="8">
        <f>IF(B968="","",IFERROR(C968*INDEX(Товары!$J$2:$J$51,MATCH(B968,Товары!$A$2:$A$51,0)),""))</f>
        <v/>
      </c>
      <c r="G968" s="2">
        <f>IF(A968="","",YEAR(A968)&amp;"-"&amp;TEXT(MONTH(A968),"00"))</f>
        <v/>
      </c>
    </row>
    <row r="969">
      <c r="A969" s="2" t="n"/>
      <c r="B969" s="2" t="n"/>
      <c r="C969" s="2" t="n"/>
      <c r="D969" s="8">
        <f>IF(B969="","",IFERROR(INDEX(Товары!$F$2:$F$51,MATCH(B969,Товары!$A$2:$A$51,0)),""))</f>
        <v/>
      </c>
      <c r="E969" s="8">
        <f>IF(OR(B969="",D969=""),"",C969*D969)</f>
        <v/>
      </c>
      <c r="F969" s="8">
        <f>IF(B969="","",IFERROR(C969*INDEX(Товары!$J$2:$J$51,MATCH(B969,Товары!$A$2:$A$51,0)),""))</f>
        <v/>
      </c>
      <c r="G969" s="2">
        <f>IF(A969="","",YEAR(A969)&amp;"-"&amp;TEXT(MONTH(A969),"00"))</f>
        <v/>
      </c>
    </row>
    <row r="970">
      <c r="A970" s="2" t="n"/>
      <c r="B970" s="2" t="n"/>
      <c r="C970" s="2" t="n"/>
      <c r="D970" s="8">
        <f>IF(B970="","",IFERROR(INDEX(Товары!$F$2:$F$51,MATCH(B970,Товары!$A$2:$A$51,0)),""))</f>
        <v/>
      </c>
      <c r="E970" s="8">
        <f>IF(OR(B970="",D970=""),"",C970*D970)</f>
        <v/>
      </c>
      <c r="F970" s="8">
        <f>IF(B970="","",IFERROR(C970*INDEX(Товары!$J$2:$J$51,MATCH(B970,Товары!$A$2:$A$51,0)),""))</f>
        <v/>
      </c>
      <c r="G970" s="2">
        <f>IF(A970="","",YEAR(A970)&amp;"-"&amp;TEXT(MONTH(A970),"00"))</f>
        <v/>
      </c>
    </row>
    <row r="971">
      <c r="A971" s="2" t="n"/>
      <c r="B971" s="2" t="n"/>
      <c r="C971" s="2" t="n"/>
      <c r="D971" s="8">
        <f>IF(B971="","",IFERROR(INDEX(Товары!$F$2:$F$51,MATCH(B971,Товары!$A$2:$A$51,0)),""))</f>
        <v/>
      </c>
      <c r="E971" s="8">
        <f>IF(OR(B971="",D971=""),"",C971*D971)</f>
        <v/>
      </c>
      <c r="F971" s="8">
        <f>IF(B971="","",IFERROR(C971*INDEX(Товары!$J$2:$J$51,MATCH(B971,Товары!$A$2:$A$51,0)),""))</f>
        <v/>
      </c>
      <c r="G971" s="2">
        <f>IF(A971="","",YEAR(A971)&amp;"-"&amp;TEXT(MONTH(A971),"00"))</f>
        <v/>
      </c>
    </row>
    <row r="972">
      <c r="A972" s="2" t="n"/>
      <c r="B972" s="2" t="n"/>
      <c r="C972" s="2" t="n"/>
      <c r="D972" s="8">
        <f>IF(B972="","",IFERROR(INDEX(Товары!$F$2:$F$51,MATCH(B972,Товары!$A$2:$A$51,0)),""))</f>
        <v/>
      </c>
      <c r="E972" s="8">
        <f>IF(OR(B972="",D972=""),"",C972*D972)</f>
        <v/>
      </c>
      <c r="F972" s="8">
        <f>IF(B972="","",IFERROR(C972*INDEX(Товары!$J$2:$J$51,MATCH(B972,Товары!$A$2:$A$51,0)),""))</f>
        <v/>
      </c>
      <c r="G972" s="2">
        <f>IF(A972="","",YEAR(A972)&amp;"-"&amp;TEXT(MONTH(A972),"00"))</f>
        <v/>
      </c>
    </row>
    <row r="973">
      <c r="A973" s="2" t="n"/>
      <c r="B973" s="2" t="n"/>
      <c r="C973" s="2" t="n"/>
      <c r="D973" s="8">
        <f>IF(B973="","",IFERROR(INDEX(Товары!$F$2:$F$51,MATCH(B973,Товары!$A$2:$A$51,0)),""))</f>
        <v/>
      </c>
      <c r="E973" s="8">
        <f>IF(OR(B973="",D973=""),"",C973*D973)</f>
        <v/>
      </c>
      <c r="F973" s="8">
        <f>IF(B973="","",IFERROR(C973*INDEX(Товары!$J$2:$J$51,MATCH(B973,Товары!$A$2:$A$51,0)),""))</f>
        <v/>
      </c>
      <c r="G973" s="2">
        <f>IF(A973="","",YEAR(A973)&amp;"-"&amp;TEXT(MONTH(A973),"00"))</f>
        <v/>
      </c>
    </row>
    <row r="974">
      <c r="A974" s="2" t="n"/>
      <c r="B974" s="2" t="n"/>
      <c r="C974" s="2" t="n"/>
      <c r="D974" s="8">
        <f>IF(B974="","",IFERROR(INDEX(Товары!$F$2:$F$51,MATCH(B974,Товары!$A$2:$A$51,0)),""))</f>
        <v/>
      </c>
      <c r="E974" s="8">
        <f>IF(OR(B974="",D974=""),"",C974*D974)</f>
        <v/>
      </c>
      <c r="F974" s="8">
        <f>IF(B974="","",IFERROR(C974*INDEX(Товары!$J$2:$J$51,MATCH(B974,Товары!$A$2:$A$51,0)),""))</f>
        <v/>
      </c>
      <c r="G974" s="2">
        <f>IF(A974="","",YEAR(A974)&amp;"-"&amp;TEXT(MONTH(A974),"00"))</f>
        <v/>
      </c>
    </row>
    <row r="975">
      <c r="A975" s="2" t="n"/>
      <c r="B975" s="2" t="n"/>
      <c r="C975" s="2" t="n"/>
      <c r="D975" s="8">
        <f>IF(B975="","",IFERROR(INDEX(Товары!$F$2:$F$51,MATCH(B975,Товары!$A$2:$A$51,0)),""))</f>
        <v/>
      </c>
      <c r="E975" s="8">
        <f>IF(OR(B975="",D975=""),"",C975*D975)</f>
        <v/>
      </c>
      <c r="F975" s="8">
        <f>IF(B975="","",IFERROR(C975*INDEX(Товары!$J$2:$J$51,MATCH(B975,Товары!$A$2:$A$51,0)),""))</f>
        <v/>
      </c>
      <c r="G975" s="2">
        <f>IF(A975="","",YEAR(A975)&amp;"-"&amp;TEXT(MONTH(A975),"00"))</f>
        <v/>
      </c>
    </row>
    <row r="976">
      <c r="A976" s="2" t="n"/>
      <c r="B976" s="2" t="n"/>
      <c r="C976" s="2" t="n"/>
      <c r="D976" s="8">
        <f>IF(B976="","",IFERROR(INDEX(Товары!$F$2:$F$51,MATCH(B976,Товары!$A$2:$A$51,0)),""))</f>
        <v/>
      </c>
      <c r="E976" s="8">
        <f>IF(OR(B976="",D976=""),"",C976*D976)</f>
        <v/>
      </c>
      <c r="F976" s="8">
        <f>IF(B976="","",IFERROR(C976*INDEX(Товары!$J$2:$J$51,MATCH(B976,Товары!$A$2:$A$51,0)),""))</f>
        <v/>
      </c>
      <c r="G976" s="2">
        <f>IF(A976="","",YEAR(A976)&amp;"-"&amp;TEXT(MONTH(A976),"00"))</f>
        <v/>
      </c>
    </row>
    <row r="977">
      <c r="A977" s="2" t="n"/>
      <c r="B977" s="2" t="n"/>
      <c r="C977" s="2" t="n"/>
      <c r="D977" s="8">
        <f>IF(B977="","",IFERROR(INDEX(Товары!$F$2:$F$51,MATCH(B977,Товары!$A$2:$A$51,0)),""))</f>
        <v/>
      </c>
      <c r="E977" s="8">
        <f>IF(OR(B977="",D977=""),"",C977*D977)</f>
        <v/>
      </c>
      <c r="F977" s="8">
        <f>IF(B977="","",IFERROR(C977*INDEX(Товары!$J$2:$J$51,MATCH(B977,Товары!$A$2:$A$51,0)),""))</f>
        <v/>
      </c>
      <c r="G977" s="2">
        <f>IF(A977="","",YEAR(A977)&amp;"-"&amp;TEXT(MONTH(A977),"00"))</f>
        <v/>
      </c>
    </row>
    <row r="978">
      <c r="A978" s="2" t="n"/>
      <c r="B978" s="2" t="n"/>
      <c r="C978" s="2" t="n"/>
      <c r="D978" s="8">
        <f>IF(B978="","",IFERROR(INDEX(Товары!$F$2:$F$51,MATCH(B978,Товары!$A$2:$A$51,0)),""))</f>
        <v/>
      </c>
      <c r="E978" s="8">
        <f>IF(OR(B978="",D978=""),"",C978*D978)</f>
        <v/>
      </c>
      <c r="F978" s="8">
        <f>IF(B978="","",IFERROR(C978*INDEX(Товары!$J$2:$J$51,MATCH(B978,Товары!$A$2:$A$51,0)),""))</f>
        <v/>
      </c>
      <c r="G978" s="2">
        <f>IF(A978="","",YEAR(A978)&amp;"-"&amp;TEXT(MONTH(A978),"00"))</f>
        <v/>
      </c>
    </row>
    <row r="979">
      <c r="A979" s="2" t="n"/>
      <c r="B979" s="2" t="n"/>
      <c r="C979" s="2" t="n"/>
      <c r="D979" s="8">
        <f>IF(B979="","",IFERROR(INDEX(Товары!$F$2:$F$51,MATCH(B979,Товары!$A$2:$A$51,0)),""))</f>
        <v/>
      </c>
      <c r="E979" s="8">
        <f>IF(OR(B979="",D979=""),"",C979*D979)</f>
        <v/>
      </c>
      <c r="F979" s="8">
        <f>IF(B979="","",IFERROR(C979*INDEX(Товары!$J$2:$J$51,MATCH(B979,Товары!$A$2:$A$51,0)),""))</f>
        <v/>
      </c>
      <c r="G979" s="2">
        <f>IF(A979="","",YEAR(A979)&amp;"-"&amp;TEXT(MONTH(A979),"00"))</f>
        <v/>
      </c>
    </row>
    <row r="980">
      <c r="A980" s="2" t="n"/>
      <c r="B980" s="2" t="n"/>
      <c r="C980" s="2" t="n"/>
      <c r="D980" s="8">
        <f>IF(B980="","",IFERROR(INDEX(Товары!$F$2:$F$51,MATCH(B980,Товары!$A$2:$A$51,0)),""))</f>
        <v/>
      </c>
      <c r="E980" s="8">
        <f>IF(OR(B980="",D980=""),"",C980*D980)</f>
        <v/>
      </c>
      <c r="F980" s="8">
        <f>IF(B980="","",IFERROR(C980*INDEX(Товары!$J$2:$J$51,MATCH(B980,Товары!$A$2:$A$51,0)),""))</f>
        <v/>
      </c>
      <c r="G980" s="2">
        <f>IF(A980="","",YEAR(A980)&amp;"-"&amp;TEXT(MONTH(A980),"00"))</f>
        <v/>
      </c>
    </row>
    <row r="981">
      <c r="A981" s="2" t="n"/>
      <c r="B981" s="2" t="n"/>
      <c r="C981" s="2" t="n"/>
      <c r="D981" s="8">
        <f>IF(B981="","",IFERROR(INDEX(Товары!$F$2:$F$51,MATCH(B981,Товары!$A$2:$A$51,0)),""))</f>
        <v/>
      </c>
      <c r="E981" s="8">
        <f>IF(OR(B981="",D981=""),"",C981*D981)</f>
        <v/>
      </c>
      <c r="F981" s="8">
        <f>IF(B981="","",IFERROR(C981*INDEX(Товары!$J$2:$J$51,MATCH(B981,Товары!$A$2:$A$51,0)),""))</f>
        <v/>
      </c>
      <c r="G981" s="2">
        <f>IF(A981="","",YEAR(A981)&amp;"-"&amp;TEXT(MONTH(A981),"00"))</f>
        <v/>
      </c>
    </row>
    <row r="982">
      <c r="A982" s="2" t="n"/>
      <c r="B982" s="2" t="n"/>
      <c r="C982" s="2" t="n"/>
      <c r="D982" s="8">
        <f>IF(B982="","",IFERROR(INDEX(Товары!$F$2:$F$51,MATCH(B982,Товары!$A$2:$A$51,0)),""))</f>
        <v/>
      </c>
      <c r="E982" s="8">
        <f>IF(OR(B982="",D982=""),"",C982*D982)</f>
        <v/>
      </c>
      <c r="F982" s="8">
        <f>IF(B982="","",IFERROR(C982*INDEX(Товары!$J$2:$J$51,MATCH(B982,Товары!$A$2:$A$51,0)),""))</f>
        <v/>
      </c>
      <c r="G982" s="2">
        <f>IF(A982="","",YEAR(A982)&amp;"-"&amp;TEXT(MONTH(A982),"00"))</f>
        <v/>
      </c>
    </row>
    <row r="983">
      <c r="A983" s="2" t="n"/>
      <c r="B983" s="2" t="n"/>
      <c r="C983" s="2" t="n"/>
      <c r="D983" s="8">
        <f>IF(B983="","",IFERROR(INDEX(Товары!$F$2:$F$51,MATCH(B983,Товары!$A$2:$A$51,0)),""))</f>
        <v/>
      </c>
      <c r="E983" s="8">
        <f>IF(OR(B983="",D983=""),"",C983*D983)</f>
        <v/>
      </c>
      <c r="F983" s="8">
        <f>IF(B983="","",IFERROR(C983*INDEX(Товары!$J$2:$J$51,MATCH(B983,Товары!$A$2:$A$51,0)),""))</f>
        <v/>
      </c>
      <c r="G983" s="2">
        <f>IF(A983="","",YEAR(A983)&amp;"-"&amp;TEXT(MONTH(A983),"00"))</f>
        <v/>
      </c>
    </row>
    <row r="984">
      <c r="A984" s="2" t="n"/>
      <c r="B984" s="2" t="n"/>
      <c r="C984" s="2" t="n"/>
      <c r="D984" s="8">
        <f>IF(B984="","",IFERROR(INDEX(Товары!$F$2:$F$51,MATCH(B984,Товары!$A$2:$A$51,0)),""))</f>
        <v/>
      </c>
      <c r="E984" s="8">
        <f>IF(OR(B984="",D984=""),"",C984*D984)</f>
        <v/>
      </c>
      <c r="F984" s="8">
        <f>IF(B984="","",IFERROR(C984*INDEX(Товары!$J$2:$J$51,MATCH(B984,Товары!$A$2:$A$51,0)),""))</f>
        <v/>
      </c>
      <c r="G984" s="2">
        <f>IF(A984="","",YEAR(A984)&amp;"-"&amp;TEXT(MONTH(A984),"00"))</f>
        <v/>
      </c>
    </row>
    <row r="985">
      <c r="A985" s="2" t="n"/>
      <c r="B985" s="2" t="n"/>
      <c r="C985" s="2" t="n"/>
      <c r="D985" s="8">
        <f>IF(B985="","",IFERROR(INDEX(Товары!$F$2:$F$51,MATCH(B985,Товары!$A$2:$A$51,0)),""))</f>
        <v/>
      </c>
      <c r="E985" s="8">
        <f>IF(OR(B985="",D985=""),"",C985*D985)</f>
        <v/>
      </c>
      <c r="F985" s="8">
        <f>IF(B985="","",IFERROR(C985*INDEX(Товары!$J$2:$J$51,MATCH(B985,Товары!$A$2:$A$51,0)),""))</f>
        <v/>
      </c>
      <c r="G985" s="2">
        <f>IF(A985="","",YEAR(A985)&amp;"-"&amp;TEXT(MONTH(A985),"00"))</f>
        <v/>
      </c>
    </row>
    <row r="986">
      <c r="A986" s="2" t="n"/>
      <c r="B986" s="2" t="n"/>
      <c r="C986" s="2" t="n"/>
      <c r="D986" s="8">
        <f>IF(B986="","",IFERROR(INDEX(Товары!$F$2:$F$51,MATCH(B986,Товары!$A$2:$A$51,0)),""))</f>
        <v/>
      </c>
      <c r="E986" s="8">
        <f>IF(OR(B986="",D986=""),"",C986*D986)</f>
        <v/>
      </c>
      <c r="F986" s="8">
        <f>IF(B986="","",IFERROR(C986*INDEX(Товары!$J$2:$J$51,MATCH(B986,Товары!$A$2:$A$51,0)),""))</f>
        <v/>
      </c>
      <c r="G986" s="2">
        <f>IF(A986="","",YEAR(A986)&amp;"-"&amp;TEXT(MONTH(A986),"00"))</f>
        <v/>
      </c>
    </row>
    <row r="987">
      <c r="A987" s="2" t="n"/>
      <c r="B987" s="2" t="n"/>
      <c r="C987" s="2" t="n"/>
      <c r="D987" s="8">
        <f>IF(B987="","",IFERROR(INDEX(Товары!$F$2:$F$51,MATCH(B987,Товары!$A$2:$A$51,0)),""))</f>
        <v/>
      </c>
      <c r="E987" s="8">
        <f>IF(OR(B987="",D987=""),"",C987*D987)</f>
        <v/>
      </c>
      <c r="F987" s="8">
        <f>IF(B987="","",IFERROR(C987*INDEX(Товары!$J$2:$J$51,MATCH(B987,Товары!$A$2:$A$51,0)),""))</f>
        <v/>
      </c>
      <c r="G987" s="2">
        <f>IF(A987="","",YEAR(A987)&amp;"-"&amp;TEXT(MONTH(A987),"00"))</f>
        <v/>
      </c>
    </row>
    <row r="988">
      <c r="A988" s="2" t="n"/>
      <c r="B988" s="2" t="n"/>
      <c r="C988" s="2" t="n"/>
      <c r="D988" s="8">
        <f>IF(B988="","",IFERROR(INDEX(Товары!$F$2:$F$51,MATCH(B988,Товары!$A$2:$A$51,0)),""))</f>
        <v/>
      </c>
      <c r="E988" s="8">
        <f>IF(OR(B988="",D988=""),"",C988*D988)</f>
        <v/>
      </c>
      <c r="F988" s="8">
        <f>IF(B988="","",IFERROR(C988*INDEX(Товары!$J$2:$J$51,MATCH(B988,Товары!$A$2:$A$51,0)),""))</f>
        <v/>
      </c>
      <c r="G988" s="2">
        <f>IF(A988="","",YEAR(A988)&amp;"-"&amp;TEXT(MONTH(A988),"00"))</f>
        <v/>
      </c>
    </row>
    <row r="989">
      <c r="A989" s="2" t="n"/>
      <c r="B989" s="2" t="n"/>
      <c r="C989" s="2" t="n"/>
      <c r="D989" s="8">
        <f>IF(B989="","",IFERROR(INDEX(Товары!$F$2:$F$51,MATCH(B989,Товары!$A$2:$A$51,0)),""))</f>
        <v/>
      </c>
      <c r="E989" s="8">
        <f>IF(OR(B989="",D989=""),"",C989*D989)</f>
        <v/>
      </c>
      <c r="F989" s="8">
        <f>IF(B989="","",IFERROR(C989*INDEX(Товары!$J$2:$J$51,MATCH(B989,Товары!$A$2:$A$51,0)),""))</f>
        <v/>
      </c>
      <c r="G989" s="2">
        <f>IF(A989="","",YEAR(A989)&amp;"-"&amp;TEXT(MONTH(A989),"00"))</f>
        <v/>
      </c>
    </row>
    <row r="990">
      <c r="A990" s="2" t="n"/>
      <c r="B990" s="2" t="n"/>
      <c r="C990" s="2" t="n"/>
      <c r="D990" s="8">
        <f>IF(B990="","",IFERROR(INDEX(Товары!$F$2:$F$51,MATCH(B990,Товары!$A$2:$A$51,0)),""))</f>
        <v/>
      </c>
      <c r="E990" s="8">
        <f>IF(OR(B990="",D990=""),"",C990*D990)</f>
        <v/>
      </c>
      <c r="F990" s="8">
        <f>IF(B990="","",IFERROR(C990*INDEX(Товары!$J$2:$J$51,MATCH(B990,Товары!$A$2:$A$51,0)),""))</f>
        <v/>
      </c>
      <c r="G990" s="2">
        <f>IF(A990="","",YEAR(A990)&amp;"-"&amp;TEXT(MONTH(A990),"00"))</f>
        <v/>
      </c>
    </row>
    <row r="991">
      <c r="A991" s="2" t="n"/>
      <c r="B991" s="2" t="n"/>
      <c r="C991" s="2" t="n"/>
      <c r="D991" s="8">
        <f>IF(B991="","",IFERROR(INDEX(Товары!$F$2:$F$51,MATCH(B991,Товары!$A$2:$A$51,0)),""))</f>
        <v/>
      </c>
      <c r="E991" s="8">
        <f>IF(OR(B991="",D991=""),"",C991*D991)</f>
        <v/>
      </c>
      <c r="F991" s="8">
        <f>IF(B991="","",IFERROR(C991*INDEX(Товары!$J$2:$J$51,MATCH(B991,Товары!$A$2:$A$51,0)),""))</f>
        <v/>
      </c>
      <c r="G991" s="2">
        <f>IF(A991="","",YEAR(A991)&amp;"-"&amp;TEXT(MONTH(A991),"00"))</f>
        <v/>
      </c>
    </row>
    <row r="992">
      <c r="A992" s="2" t="n"/>
      <c r="B992" s="2" t="n"/>
      <c r="C992" s="2" t="n"/>
      <c r="D992" s="8">
        <f>IF(B992="","",IFERROR(INDEX(Товары!$F$2:$F$51,MATCH(B992,Товары!$A$2:$A$51,0)),""))</f>
        <v/>
      </c>
      <c r="E992" s="8">
        <f>IF(OR(B992="",D992=""),"",C992*D992)</f>
        <v/>
      </c>
      <c r="F992" s="8">
        <f>IF(B992="","",IFERROR(C992*INDEX(Товары!$J$2:$J$51,MATCH(B992,Товары!$A$2:$A$51,0)),""))</f>
        <v/>
      </c>
      <c r="G992" s="2">
        <f>IF(A992="","",YEAR(A992)&amp;"-"&amp;TEXT(MONTH(A992),"00"))</f>
        <v/>
      </c>
    </row>
    <row r="993">
      <c r="A993" s="2" t="n"/>
      <c r="B993" s="2" t="n"/>
      <c r="C993" s="2" t="n"/>
      <c r="D993" s="8">
        <f>IF(B993="","",IFERROR(INDEX(Товары!$F$2:$F$51,MATCH(B993,Товары!$A$2:$A$51,0)),""))</f>
        <v/>
      </c>
      <c r="E993" s="8">
        <f>IF(OR(B993="",D993=""),"",C993*D993)</f>
        <v/>
      </c>
      <c r="F993" s="8">
        <f>IF(B993="","",IFERROR(C993*INDEX(Товары!$J$2:$J$51,MATCH(B993,Товары!$A$2:$A$51,0)),""))</f>
        <v/>
      </c>
      <c r="G993" s="2">
        <f>IF(A993="","",YEAR(A993)&amp;"-"&amp;TEXT(MONTH(A993),"00"))</f>
        <v/>
      </c>
    </row>
    <row r="994">
      <c r="A994" s="2" t="n"/>
      <c r="B994" s="2" t="n"/>
      <c r="C994" s="2" t="n"/>
      <c r="D994" s="8">
        <f>IF(B994="","",IFERROR(INDEX(Товары!$F$2:$F$51,MATCH(B994,Товары!$A$2:$A$51,0)),""))</f>
        <v/>
      </c>
      <c r="E994" s="8">
        <f>IF(OR(B994="",D994=""),"",C994*D994)</f>
        <v/>
      </c>
      <c r="F994" s="8">
        <f>IF(B994="","",IFERROR(C994*INDEX(Товары!$J$2:$J$51,MATCH(B994,Товары!$A$2:$A$51,0)),""))</f>
        <v/>
      </c>
      <c r="G994" s="2">
        <f>IF(A994="","",YEAR(A994)&amp;"-"&amp;TEXT(MONTH(A994),"00"))</f>
        <v/>
      </c>
    </row>
    <row r="995">
      <c r="A995" s="2" t="n"/>
      <c r="B995" s="2" t="n"/>
      <c r="C995" s="2" t="n"/>
      <c r="D995" s="8">
        <f>IF(B995="","",IFERROR(INDEX(Товары!$F$2:$F$51,MATCH(B995,Товары!$A$2:$A$51,0)),""))</f>
        <v/>
      </c>
      <c r="E995" s="8">
        <f>IF(OR(B995="",D995=""),"",C995*D995)</f>
        <v/>
      </c>
      <c r="F995" s="8">
        <f>IF(B995="","",IFERROR(C995*INDEX(Товары!$J$2:$J$51,MATCH(B995,Товары!$A$2:$A$51,0)),""))</f>
        <v/>
      </c>
      <c r="G995" s="2">
        <f>IF(A995="","",YEAR(A995)&amp;"-"&amp;TEXT(MONTH(A995),"00"))</f>
        <v/>
      </c>
    </row>
    <row r="996">
      <c r="A996" s="2" t="n"/>
      <c r="B996" s="2" t="n"/>
      <c r="C996" s="2" t="n"/>
      <c r="D996" s="8">
        <f>IF(B996="","",IFERROR(INDEX(Товары!$F$2:$F$51,MATCH(B996,Товары!$A$2:$A$51,0)),""))</f>
        <v/>
      </c>
      <c r="E996" s="8">
        <f>IF(OR(B996="",D996=""),"",C996*D996)</f>
        <v/>
      </c>
      <c r="F996" s="8">
        <f>IF(B996="","",IFERROR(C996*INDEX(Товары!$J$2:$J$51,MATCH(B996,Товары!$A$2:$A$51,0)),""))</f>
        <v/>
      </c>
      <c r="G996" s="2">
        <f>IF(A996="","",YEAR(A996)&amp;"-"&amp;TEXT(MONTH(A996),"00"))</f>
        <v/>
      </c>
    </row>
    <row r="997">
      <c r="A997" s="2" t="n"/>
      <c r="B997" s="2" t="n"/>
      <c r="C997" s="2" t="n"/>
      <c r="D997" s="8">
        <f>IF(B997="","",IFERROR(INDEX(Товары!$F$2:$F$51,MATCH(B997,Товары!$A$2:$A$51,0)),""))</f>
        <v/>
      </c>
      <c r="E997" s="8">
        <f>IF(OR(B997="",D997=""),"",C997*D997)</f>
        <v/>
      </c>
      <c r="F997" s="8">
        <f>IF(B997="","",IFERROR(C997*INDEX(Товары!$J$2:$J$51,MATCH(B997,Товары!$A$2:$A$51,0)),""))</f>
        <v/>
      </c>
      <c r="G997" s="2">
        <f>IF(A997="","",YEAR(A997)&amp;"-"&amp;TEXT(MONTH(A997),"00"))</f>
        <v/>
      </c>
    </row>
    <row r="998">
      <c r="A998" s="2" t="n"/>
      <c r="B998" s="2" t="n"/>
      <c r="C998" s="2" t="n"/>
      <c r="D998" s="8">
        <f>IF(B998="","",IFERROR(INDEX(Товары!$F$2:$F$51,MATCH(B998,Товары!$A$2:$A$51,0)),""))</f>
        <v/>
      </c>
      <c r="E998" s="8">
        <f>IF(OR(B998="",D998=""),"",C998*D998)</f>
        <v/>
      </c>
      <c r="F998" s="8">
        <f>IF(B998="","",IFERROR(C998*INDEX(Товары!$J$2:$J$51,MATCH(B998,Товары!$A$2:$A$51,0)),""))</f>
        <v/>
      </c>
      <c r="G998" s="2">
        <f>IF(A998="","",YEAR(A998)&amp;"-"&amp;TEXT(MONTH(A998),"00"))</f>
        <v/>
      </c>
    </row>
    <row r="999">
      <c r="A999" s="2" t="n"/>
      <c r="B999" s="2" t="n"/>
      <c r="C999" s="2" t="n"/>
      <c r="D999" s="8">
        <f>IF(B999="","",IFERROR(INDEX(Товары!$F$2:$F$51,MATCH(B999,Товары!$A$2:$A$51,0)),""))</f>
        <v/>
      </c>
      <c r="E999" s="8">
        <f>IF(OR(B999="",D999=""),"",C999*D999)</f>
        <v/>
      </c>
      <c r="F999" s="8">
        <f>IF(B999="","",IFERROR(C999*INDEX(Товары!$J$2:$J$51,MATCH(B999,Товары!$A$2:$A$51,0)),""))</f>
        <v/>
      </c>
      <c r="G999" s="2">
        <f>IF(A999="","",YEAR(A999)&amp;"-"&amp;TEXT(MONTH(A999),"00"))</f>
        <v/>
      </c>
    </row>
    <row r="1000">
      <c r="A1000" s="2" t="n"/>
      <c r="B1000" s="2" t="n"/>
      <c r="C1000" s="2" t="n"/>
      <c r="D1000" s="8">
        <f>IF(B1000="","",IFERROR(INDEX(Товары!$F$2:$F$51,MATCH(B1000,Товары!$A$2:$A$51,0)),""))</f>
        <v/>
      </c>
      <c r="E1000" s="8">
        <f>IF(OR(B1000="",D1000=""),"",C1000*D1000)</f>
        <v/>
      </c>
      <c r="F1000" s="8">
        <f>IF(B1000="","",IFERROR(C1000*INDEX(Товары!$J$2:$J$51,MATCH(B1000,Товары!$A$2:$A$51,0)),""))</f>
        <v/>
      </c>
      <c r="G1000" s="2">
        <f>IF(A1000="","",YEAR(A1000)&amp;"-"&amp;TEXT(MONTH(A1000),"00"))</f>
        <v/>
      </c>
    </row>
  </sheetData>
  <dataValidations count="1">
    <dataValidation sqref="B2:B1000" showDropDown="0" showInputMessage="0" showErrorMessage="0" allowBlank="1" type="list">
      <formula1>=Товары!$A$2:$A$51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0" customWidth="1" min="4" max="4"/>
    <col width="20" customWidth="1" min="5" max="5"/>
    <col width="16" customWidth="1" min="6" max="6"/>
  </cols>
  <sheetData>
    <row r="1">
      <c r="A1" s="4" t="inlineStr">
        <is>
          <t>Артикул</t>
        </is>
      </c>
      <c r="B1" s="4" t="inlineStr">
        <is>
          <t>Приход, шт</t>
        </is>
      </c>
      <c r="C1" s="4" t="inlineStr">
        <is>
          <t>Продано (с учётом возвратов)</t>
        </is>
      </c>
      <c r="D1" s="4" t="inlineStr">
        <is>
          <t>Остаток</t>
        </is>
      </c>
      <c r="E1" s="4" t="inlineStr">
        <is>
          <t>Заказать, если меньше</t>
        </is>
      </c>
      <c r="F1" s="4" t="inlineStr">
        <is>
          <t>Сигнал</t>
        </is>
      </c>
    </row>
    <row r="2">
      <c r="A2" s="12">
        <f>IF(Товары!A2="","",Товары!A2)</f>
        <v/>
      </c>
      <c r="B2" s="11" t="n">
        <v>50</v>
      </c>
      <c r="C2" s="2">
        <f>IF(A2="","",SUMIFS(Продажи!$C$2:$C$1000,Продажи!$B$2:$B$1000,A2))</f>
        <v/>
      </c>
      <c r="D2" s="2">
        <f>IF(A2="","",B2-C2)</f>
        <v/>
      </c>
      <c r="E2" s="11" t="n">
        <v>10</v>
      </c>
      <c r="F2" s="2">
        <f>IF(OR(A2="",E2=""),"",IF(D2&lt;E2,"Пора заказать",""))</f>
        <v/>
      </c>
    </row>
    <row r="3">
      <c r="A3" s="12">
        <f>IF(Товары!A3="","",Товары!A3)</f>
        <v/>
      </c>
      <c r="B3" s="11" t="n">
        <v>40</v>
      </c>
      <c r="C3" s="2">
        <f>IF(A3="","",SUMIFS(Продажи!$C$2:$C$1000,Продажи!$B$2:$B$1000,A3))</f>
        <v/>
      </c>
      <c r="D3" s="2">
        <f>IF(A3="","",B3-C3)</f>
        <v/>
      </c>
      <c r="E3" s="11" t="n">
        <v>10</v>
      </c>
      <c r="F3" s="2">
        <f>IF(OR(A3="",E3=""),"",IF(D3&lt;E3,"Пора заказать",""))</f>
        <v/>
      </c>
    </row>
    <row r="4">
      <c r="A4" s="12">
        <f>IF(Товары!A4="","",Товары!A4)</f>
        <v/>
      </c>
      <c r="B4" s="11" t="n">
        <v>30</v>
      </c>
      <c r="C4" s="2">
        <f>IF(A4="","",SUMIFS(Продажи!$C$2:$C$1000,Продажи!$B$2:$B$1000,A4))</f>
        <v/>
      </c>
      <c r="D4" s="2">
        <f>IF(A4="","",B4-C4)</f>
        <v/>
      </c>
      <c r="E4" s="11" t="n">
        <v>5</v>
      </c>
      <c r="F4" s="2">
        <f>IF(OR(A4="",E4=""),"",IF(D4&lt;E4,"Пора заказать",""))</f>
        <v/>
      </c>
    </row>
    <row r="5">
      <c r="A5" s="12">
        <f>IF(Товары!A5="","",Товары!A5)</f>
        <v/>
      </c>
      <c r="B5" s="2" t="n"/>
      <c r="C5" s="2">
        <f>IF(A5="","",SUMIFS(Продажи!$C$2:$C$1000,Продажи!$B$2:$B$1000,A5))</f>
        <v/>
      </c>
      <c r="D5" s="2">
        <f>IF(A5="","",B5-C5)</f>
        <v/>
      </c>
      <c r="E5" s="2" t="n"/>
      <c r="F5" s="2">
        <f>IF(OR(A5="",E5=""),"",IF(D5&lt;E5,"Пора заказать",""))</f>
        <v/>
      </c>
    </row>
    <row r="6">
      <c r="A6" s="12">
        <f>IF(Товары!A6="","",Товары!A6)</f>
        <v/>
      </c>
      <c r="B6" s="2" t="n"/>
      <c r="C6" s="2">
        <f>IF(A6="","",SUMIFS(Продажи!$C$2:$C$1000,Продажи!$B$2:$B$1000,A6))</f>
        <v/>
      </c>
      <c r="D6" s="2">
        <f>IF(A6="","",B6-C6)</f>
        <v/>
      </c>
      <c r="E6" s="2" t="n"/>
      <c r="F6" s="2">
        <f>IF(OR(A6="",E6=""),"",IF(D6&lt;E6,"Пора заказать",""))</f>
        <v/>
      </c>
    </row>
    <row r="7">
      <c r="A7" s="12">
        <f>IF(Товары!A7="","",Товары!A7)</f>
        <v/>
      </c>
      <c r="B7" s="2" t="n"/>
      <c r="C7" s="2">
        <f>IF(A7="","",SUMIFS(Продажи!$C$2:$C$1000,Продажи!$B$2:$B$1000,A7))</f>
        <v/>
      </c>
      <c r="D7" s="2">
        <f>IF(A7="","",B7-C7)</f>
        <v/>
      </c>
      <c r="E7" s="2" t="n"/>
      <c r="F7" s="2">
        <f>IF(OR(A7="",E7=""),"",IF(D7&lt;E7,"Пора заказать",""))</f>
        <v/>
      </c>
    </row>
    <row r="8">
      <c r="A8" s="12">
        <f>IF(Товары!A8="","",Товары!A8)</f>
        <v/>
      </c>
      <c r="B8" s="2" t="n"/>
      <c r="C8" s="2">
        <f>IF(A8="","",SUMIFS(Продажи!$C$2:$C$1000,Продажи!$B$2:$B$1000,A8))</f>
        <v/>
      </c>
      <c r="D8" s="2">
        <f>IF(A8="","",B8-C8)</f>
        <v/>
      </c>
      <c r="E8" s="2" t="n"/>
      <c r="F8" s="2">
        <f>IF(OR(A8="",E8=""),"",IF(D8&lt;E8,"Пора заказать",""))</f>
        <v/>
      </c>
    </row>
    <row r="9">
      <c r="A9" s="12">
        <f>IF(Товары!A9="","",Товары!A9)</f>
        <v/>
      </c>
      <c r="B9" s="2" t="n"/>
      <c r="C9" s="2">
        <f>IF(A9="","",SUMIFS(Продажи!$C$2:$C$1000,Продажи!$B$2:$B$1000,A9))</f>
        <v/>
      </c>
      <c r="D9" s="2">
        <f>IF(A9="","",B9-C9)</f>
        <v/>
      </c>
      <c r="E9" s="2" t="n"/>
      <c r="F9" s="2">
        <f>IF(OR(A9="",E9=""),"",IF(D9&lt;E9,"Пора заказать",""))</f>
        <v/>
      </c>
    </row>
    <row r="10">
      <c r="A10" s="12">
        <f>IF(Товары!A10="","",Товары!A10)</f>
        <v/>
      </c>
      <c r="B10" s="2" t="n"/>
      <c r="C10" s="2">
        <f>IF(A10="","",SUMIFS(Продажи!$C$2:$C$1000,Продажи!$B$2:$B$1000,A10))</f>
        <v/>
      </c>
      <c r="D10" s="2">
        <f>IF(A10="","",B10-C10)</f>
        <v/>
      </c>
      <c r="E10" s="2" t="n"/>
      <c r="F10" s="2">
        <f>IF(OR(A10="",E10=""),"",IF(D10&lt;E10,"Пора заказать",""))</f>
        <v/>
      </c>
    </row>
    <row r="11">
      <c r="A11" s="12">
        <f>IF(Товары!A11="","",Товары!A11)</f>
        <v/>
      </c>
      <c r="B11" s="2" t="n"/>
      <c r="C11" s="2">
        <f>IF(A11="","",SUMIFS(Продажи!$C$2:$C$1000,Продажи!$B$2:$B$1000,A11))</f>
        <v/>
      </c>
      <c r="D11" s="2">
        <f>IF(A11="","",B11-C11)</f>
        <v/>
      </c>
      <c r="E11" s="2" t="n"/>
      <c r="F11" s="2">
        <f>IF(OR(A11="",E11=""),"",IF(D11&lt;E11,"Пора заказать",""))</f>
        <v/>
      </c>
    </row>
    <row r="12">
      <c r="A12" s="12">
        <f>IF(Товары!A12="","",Товары!A12)</f>
        <v/>
      </c>
      <c r="B12" s="2" t="n"/>
      <c r="C12" s="2">
        <f>IF(A12="","",SUMIFS(Продажи!$C$2:$C$1000,Продажи!$B$2:$B$1000,A12))</f>
        <v/>
      </c>
      <c r="D12" s="2">
        <f>IF(A12="","",B12-C12)</f>
        <v/>
      </c>
      <c r="E12" s="2" t="n"/>
      <c r="F12" s="2">
        <f>IF(OR(A12="",E12=""),"",IF(D12&lt;E12,"Пора заказать",""))</f>
        <v/>
      </c>
    </row>
    <row r="13">
      <c r="A13" s="12">
        <f>IF(Товары!A13="","",Товары!A13)</f>
        <v/>
      </c>
      <c r="B13" s="2" t="n"/>
      <c r="C13" s="2">
        <f>IF(A13="","",SUMIFS(Продажи!$C$2:$C$1000,Продажи!$B$2:$B$1000,A13))</f>
        <v/>
      </c>
      <c r="D13" s="2">
        <f>IF(A13="","",B13-C13)</f>
        <v/>
      </c>
      <c r="E13" s="2" t="n"/>
      <c r="F13" s="2">
        <f>IF(OR(A13="",E13=""),"",IF(D13&lt;E13,"Пора заказать",""))</f>
        <v/>
      </c>
    </row>
    <row r="14">
      <c r="A14" s="12">
        <f>IF(Товары!A14="","",Товары!A14)</f>
        <v/>
      </c>
      <c r="B14" s="2" t="n"/>
      <c r="C14" s="2">
        <f>IF(A14="","",SUMIFS(Продажи!$C$2:$C$1000,Продажи!$B$2:$B$1000,A14))</f>
        <v/>
      </c>
      <c r="D14" s="2">
        <f>IF(A14="","",B14-C14)</f>
        <v/>
      </c>
      <c r="E14" s="2" t="n"/>
      <c r="F14" s="2">
        <f>IF(OR(A14="",E14=""),"",IF(D14&lt;E14,"Пора заказать",""))</f>
        <v/>
      </c>
    </row>
    <row r="15">
      <c r="A15" s="12">
        <f>IF(Товары!A15="","",Товары!A15)</f>
        <v/>
      </c>
      <c r="B15" s="2" t="n"/>
      <c r="C15" s="2">
        <f>IF(A15="","",SUMIFS(Продажи!$C$2:$C$1000,Продажи!$B$2:$B$1000,A15))</f>
        <v/>
      </c>
      <c r="D15" s="2">
        <f>IF(A15="","",B15-C15)</f>
        <v/>
      </c>
      <c r="E15" s="2" t="n"/>
      <c r="F15" s="2">
        <f>IF(OR(A15="",E15=""),"",IF(D15&lt;E15,"Пора заказать",""))</f>
        <v/>
      </c>
    </row>
    <row r="16">
      <c r="A16" s="12">
        <f>IF(Товары!A16="","",Товары!A16)</f>
        <v/>
      </c>
      <c r="B16" s="2" t="n"/>
      <c r="C16" s="2">
        <f>IF(A16="","",SUMIFS(Продажи!$C$2:$C$1000,Продажи!$B$2:$B$1000,A16))</f>
        <v/>
      </c>
      <c r="D16" s="2">
        <f>IF(A16="","",B16-C16)</f>
        <v/>
      </c>
      <c r="E16" s="2" t="n"/>
      <c r="F16" s="2">
        <f>IF(OR(A16="",E16=""),"",IF(D16&lt;E16,"Пора заказать",""))</f>
        <v/>
      </c>
    </row>
    <row r="17">
      <c r="A17" s="12">
        <f>IF(Товары!A17="","",Товары!A17)</f>
        <v/>
      </c>
      <c r="B17" s="2" t="n"/>
      <c r="C17" s="2">
        <f>IF(A17="","",SUMIFS(Продажи!$C$2:$C$1000,Продажи!$B$2:$B$1000,A17))</f>
        <v/>
      </c>
      <c r="D17" s="2">
        <f>IF(A17="","",B17-C17)</f>
        <v/>
      </c>
      <c r="E17" s="2" t="n"/>
      <c r="F17" s="2">
        <f>IF(OR(A17="",E17=""),"",IF(D17&lt;E17,"Пора заказать",""))</f>
        <v/>
      </c>
    </row>
    <row r="18">
      <c r="A18" s="12">
        <f>IF(Товары!A18="","",Товары!A18)</f>
        <v/>
      </c>
      <c r="B18" s="2" t="n"/>
      <c r="C18" s="2">
        <f>IF(A18="","",SUMIFS(Продажи!$C$2:$C$1000,Продажи!$B$2:$B$1000,A18))</f>
        <v/>
      </c>
      <c r="D18" s="2">
        <f>IF(A18="","",B18-C18)</f>
        <v/>
      </c>
      <c r="E18" s="2" t="n"/>
      <c r="F18" s="2">
        <f>IF(OR(A18="",E18=""),"",IF(D18&lt;E18,"Пора заказать",""))</f>
        <v/>
      </c>
    </row>
    <row r="19">
      <c r="A19" s="12">
        <f>IF(Товары!A19="","",Товары!A19)</f>
        <v/>
      </c>
      <c r="B19" s="2" t="n"/>
      <c r="C19" s="2">
        <f>IF(A19="","",SUMIFS(Продажи!$C$2:$C$1000,Продажи!$B$2:$B$1000,A19))</f>
        <v/>
      </c>
      <c r="D19" s="2">
        <f>IF(A19="","",B19-C19)</f>
        <v/>
      </c>
      <c r="E19" s="2" t="n"/>
      <c r="F19" s="2">
        <f>IF(OR(A19="",E19=""),"",IF(D19&lt;E19,"Пора заказать",""))</f>
        <v/>
      </c>
    </row>
    <row r="20">
      <c r="A20" s="12">
        <f>IF(Товары!A20="","",Товары!A20)</f>
        <v/>
      </c>
      <c r="B20" s="2" t="n"/>
      <c r="C20" s="2">
        <f>IF(A20="","",SUMIFS(Продажи!$C$2:$C$1000,Продажи!$B$2:$B$1000,A20))</f>
        <v/>
      </c>
      <c r="D20" s="2">
        <f>IF(A20="","",B20-C20)</f>
        <v/>
      </c>
      <c r="E20" s="2" t="n"/>
      <c r="F20" s="2">
        <f>IF(OR(A20="",E20=""),"",IF(D20&lt;E20,"Пора заказать",""))</f>
        <v/>
      </c>
    </row>
    <row r="21">
      <c r="A21" s="12">
        <f>IF(Товары!A21="","",Товары!A21)</f>
        <v/>
      </c>
      <c r="B21" s="2" t="n"/>
      <c r="C21" s="2">
        <f>IF(A21="","",SUMIFS(Продажи!$C$2:$C$1000,Продажи!$B$2:$B$1000,A21))</f>
        <v/>
      </c>
      <c r="D21" s="2">
        <f>IF(A21="","",B21-C21)</f>
        <v/>
      </c>
      <c r="E21" s="2" t="n"/>
      <c r="F21" s="2">
        <f>IF(OR(A21="",E21=""),"",IF(D21&lt;E21,"Пора заказать",""))</f>
        <v/>
      </c>
    </row>
    <row r="22">
      <c r="A22" s="12">
        <f>IF(Товары!A22="","",Товары!A22)</f>
        <v/>
      </c>
      <c r="B22" s="2" t="n"/>
      <c r="C22" s="2">
        <f>IF(A22="","",SUMIFS(Продажи!$C$2:$C$1000,Продажи!$B$2:$B$1000,A22))</f>
        <v/>
      </c>
      <c r="D22" s="2">
        <f>IF(A22="","",B22-C22)</f>
        <v/>
      </c>
      <c r="E22" s="2" t="n"/>
      <c r="F22" s="2">
        <f>IF(OR(A22="",E22=""),"",IF(D22&lt;E22,"Пора заказать",""))</f>
        <v/>
      </c>
    </row>
    <row r="23">
      <c r="A23" s="12">
        <f>IF(Товары!A23="","",Товары!A23)</f>
        <v/>
      </c>
      <c r="B23" s="2" t="n"/>
      <c r="C23" s="2">
        <f>IF(A23="","",SUMIFS(Продажи!$C$2:$C$1000,Продажи!$B$2:$B$1000,A23))</f>
        <v/>
      </c>
      <c r="D23" s="2">
        <f>IF(A23="","",B23-C23)</f>
        <v/>
      </c>
      <c r="E23" s="2" t="n"/>
      <c r="F23" s="2">
        <f>IF(OR(A23="",E23=""),"",IF(D23&lt;E23,"Пора заказать",""))</f>
        <v/>
      </c>
    </row>
    <row r="24">
      <c r="A24" s="12">
        <f>IF(Товары!A24="","",Товары!A24)</f>
        <v/>
      </c>
      <c r="B24" s="2" t="n"/>
      <c r="C24" s="2">
        <f>IF(A24="","",SUMIFS(Продажи!$C$2:$C$1000,Продажи!$B$2:$B$1000,A24))</f>
        <v/>
      </c>
      <c r="D24" s="2">
        <f>IF(A24="","",B24-C24)</f>
        <v/>
      </c>
      <c r="E24" s="2" t="n"/>
      <c r="F24" s="2">
        <f>IF(OR(A24="",E24=""),"",IF(D24&lt;E24,"Пора заказать",""))</f>
        <v/>
      </c>
    </row>
    <row r="25">
      <c r="A25" s="12">
        <f>IF(Товары!A25="","",Товары!A25)</f>
        <v/>
      </c>
      <c r="B25" s="2" t="n"/>
      <c r="C25" s="2">
        <f>IF(A25="","",SUMIFS(Продажи!$C$2:$C$1000,Продажи!$B$2:$B$1000,A25))</f>
        <v/>
      </c>
      <c r="D25" s="2">
        <f>IF(A25="","",B25-C25)</f>
        <v/>
      </c>
      <c r="E25" s="2" t="n"/>
      <c r="F25" s="2">
        <f>IF(OR(A25="",E25=""),"",IF(D25&lt;E25,"Пора заказать",""))</f>
        <v/>
      </c>
    </row>
    <row r="26">
      <c r="A26" s="12">
        <f>IF(Товары!A26="","",Товары!A26)</f>
        <v/>
      </c>
      <c r="B26" s="2" t="n"/>
      <c r="C26" s="2">
        <f>IF(A26="","",SUMIFS(Продажи!$C$2:$C$1000,Продажи!$B$2:$B$1000,A26))</f>
        <v/>
      </c>
      <c r="D26" s="2">
        <f>IF(A26="","",B26-C26)</f>
        <v/>
      </c>
      <c r="E26" s="2" t="n"/>
      <c r="F26" s="2">
        <f>IF(OR(A26="",E26=""),"",IF(D26&lt;E26,"Пора заказать",""))</f>
        <v/>
      </c>
    </row>
    <row r="27">
      <c r="A27" s="12">
        <f>IF(Товары!A27="","",Товары!A27)</f>
        <v/>
      </c>
      <c r="B27" s="2" t="n"/>
      <c r="C27" s="2">
        <f>IF(A27="","",SUMIFS(Продажи!$C$2:$C$1000,Продажи!$B$2:$B$1000,A27))</f>
        <v/>
      </c>
      <c r="D27" s="2">
        <f>IF(A27="","",B27-C27)</f>
        <v/>
      </c>
      <c r="E27" s="2" t="n"/>
      <c r="F27" s="2">
        <f>IF(OR(A27="",E27=""),"",IF(D27&lt;E27,"Пора заказать",""))</f>
        <v/>
      </c>
    </row>
    <row r="28">
      <c r="A28" s="12">
        <f>IF(Товары!A28="","",Товары!A28)</f>
        <v/>
      </c>
      <c r="B28" s="2" t="n"/>
      <c r="C28" s="2">
        <f>IF(A28="","",SUMIFS(Продажи!$C$2:$C$1000,Продажи!$B$2:$B$1000,A28))</f>
        <v/>
      </c>
      <c r="D28" s="2">
        <f>IF(A28="","",B28-C28)</f>
        <v/>
      </c>
      <c r="E28" s="2" t="n"/>
      <c r="F28" s="2">
        <f>IF(OR(A28="",E28=""),"",IF(D28&lt;E28,"Пора заказать",""))</f>
        <v/>
      </c>
    </row>
    <row r="29">
      <c r="A29" s="12">
        <f>IF(Товары!A29="","",Товары!A29)</f>
        <v/>
      </c>
      <c r="B29" s="2" t="n"/>
      <c r="C29" s="2">
        <f>IF(A29="","",SUMIFS(Продажи!$C$2:$C$1000,Продажи!$B$2:$B$1000,A29))</f>
        <v/>
      </c>
      <c r="D29" s="2">
        <f>IF(A29="","",B29-C29)</f>
        <v/>
      </c>
      <c r="E29" s="2" t="n"/>
      <c r="F29" s="2">
        <f>IF(OR(A29="",E29=""),"",IF(D29&lt;E29,"Пора заказать",""))</f>
        <v/>
      </c>
    </row>
    <row r="30">
      <c r="A30" s="12">
        <f>IF(Товары!A30="","",Товары!A30)</f>
        <v/>
      </c>
      <c r="B30" s="2" t="n"/>
      <c r="C30" s="2">
        <f>IF(A30="","",SUMIFS(Продажи!$C$2:$C$1000,Продажи!$B$2:$B$1000,A30))</f>
        <v/>
      </c>
      <c r="D30" s="2">
        <f>IF(A30="","",B30-C30)</f>
        <v/>
      </c>
      <c r="E30" s="2" t="n"/>
      <c r="F30" s="2">
        <f>IF(OR(A30="",E30=""),"",IF(D30&lt;E30,"Пора заказать",""))</f>
        <v/>
      </c>
    </row>
    <row r="31">
      <c r="A31" s="12">
        <f>IF(Товары!A31="","",Товары!A31)</f>
        <v/>
      </c>
      <c r="B31" s="2" t="n"/>
      <c r="C31" s="2">
        <f>IF(A31="","",SUMIFS(Продажи!$C$2:$C$1000,Продажи!$B$2:$B$1000,A31))</f>
        <v/>
      </c>
      <c r="D31" s="2">
        <f>IF(A31="","",B31-C31)</f>
        <v/>
      </c>
      <c r="E31" s="2" t="n"/>
      <c r="F31" s="2">
        <f>IF(OR(A31="",E31=""),"",IF(D31&lt;E31,"Пора заказать",""))</f>
        <v/>
      </c>
    </row>
    <row r="32">
      <c r="A32" s="12">
        <f>IF(Товары!A32="","",Товары!A32)</f>
        <v/>
      </c>
      <c r="B32" s="2" t="n"/>
      <c r="C32" s="2">
        <f>IF(A32="","",SUMIFS(Продажи!$C$2:$C$1000,Продажи!$B$2:$B$1000,A32))</f>
        <v/>
      </c>
      <c r="D32" s="2">
        <f>IF(A32="","",B32-C32)</f>
        <v/>
      </c>
      <c r="E32" s="2" t="n"/>
      <c r="F32" s="2">
        <f>IF(OR(A32="",E32=""),"",IF(D32&lt;E32,"Пора заказать",""))</f>
        <v/>
      </c>
    </row>
    <row r="33">
      <c r="A33" s="12">
        <f>IF(Товары!A33="","",Товары!A33)</f>
        <v/>
      </c>
      <c r="B33" s="2" t="n"/>
      <c r="C33" s="2">
        <f>IF(A33="","",SUMIFS(Продажи!$C$2:$C$1000,Продажи!$B$2:$B$1000,A33))</f>
        <v/>
      </c>
      <c r="D33" s="2">
        <f>IF(A33="","",B33-C33)</f>
        <v/>
      </c>
      <c r="E33" s="2" t="n"/>
      <c r="F33" s="2">
        <f>IF(OR(A33="",E33=""),"",IF(D33&lt;E33,"Пора заказать",""))</f>
        <v/>
      </c>
    </row>
    <row r="34">
      <c r="A34" s="12">
        <f>IF(Товары!A34="","",Товары!A34)</f>
        <v/>
      </c>
      <c r="B34" s="2" t="n"/>
      <c r="C34" s="2">
        <f>IF(A34="","",SUMIFS(Продажи!$C$2:$C$1000,Продажи!$B$2:$B$1000,A34))</f>
        <v/>
      </c>
      <c r="D34" s="2">
        <f>IF(A34="","",B34-C34)</f>
        <v/>
      </c>
      <c r="E34" s="2" t="n"/>
      <c r="F34" s="2">
        <f>IF(OR(A34="",E34=""),"",IF(D34&lt;E34,"Пора заказать",""))</f>
        <v/>
      </c>
    </row>
    <row r="35">
      <c r="A35" s="12">
        <f>IF(Товары!A35="","",Товары!A35)</f>
        <v/>
      </c>
      <c r="B35" s="2" t="n"/>
      <c r="C35" s="2">
        <f>IF(A35="","",SUMIFS(Продажи!$C$2:$C$1000,Продажи!$B$2:$B$1000,A35))</f>
        <v/>
      </c>
      <c r="D35" s="2">
        <f>IF(A35="","",B35-C35)</f>
        <v/>
      </c>
      <c r="E35" s="2" t="n"/>
      <c r="F35" s="2">
        <f>IF(OR(A35="",E35=""),"",IF(D35&lt;E35,"Пора заказать",""))</f>
        <v/>
      </c>
    </row>
    <row r="36">
      <c r="A36" s="12">
        <f>IF(Товары!A36="","",Товары!A36)</f>
        <v/>
      </c>
      <c r="B36" s="2" t="n"/>
      <c r="C36" s="2">
        <f>IF(A36="","",SUMIFS(Продажи!$C$2:$C$1000,Продажи!$B$2:$B$1000,A36))</f>
        <v/>
      </c>
      <c r="D36" s="2">
        <f>IF(A36="","",B36-C36)</f>
        <v/>
      </c>
      <c r="E36" s="2" t="n"/>
      <c r="F36" s="2">
        <f>IF(OR(A36="",E36=""),"",IF(D36&lt;E36,"Пора заказать",""))</f>
        <v/>
      </c>
    </row>
    <row r="37">
      <c r="A37" s="12">
        <f>IF(Товары!A37="","",Товары!A37)</f>
        <v/>
      </c>
      <c r="B37" s="2" t="n"/>
      <c r="C37" s="2">
        <f>IF(A37="","",SUMIFS(Продажи!$C$2:$C$1000,Продажи!$B$2:$B$1000,A37))</f>
        <v/>
      </c>
      <c r="D37" s="2">
        <f>IF(A37="","",B37-C37)</f>
        <v/>
      </c>
      <c r="E37" s="2" t="n"/>
      <c r="F37" s="2">
        <f>IF(OR(A37="",E37=""),"",IF(D37&lt;E37,"Пора заказать",""))</f>
        <v/>
      </c>
    </row>
    <row r="38">
      <c r="A38" s="12">
        <f>IF(Товары!A38="","",Товары!A38)</f>
        <v/>
      </c>
      <c r="B38" s="2" t="n"/>
      <c r="C38" s="2">
        <f>IF(A38="","",SUMIFS(Продажи!$C$2:$C$1000,Продажи!$B$2:$B$1000,A38))</f>
        <v/>
      </c>
      <c r="D38" s="2">
        <f>IF(A38="","",B38-C38)</f>
        <v/>
      </c>
      <c r="E38" s="2" t="n"/>
      <c r="F38" s="2">
        <f>IF(OR(A38="",E38=""),"",IF(D38&lt;E38,"Пора заказать",""))</f>
        <v/>
      </c>
    </row>
    <row r="39">
      <c r="A39" s="12">
        <f>IF(Товары!A39="","",Товары!A39)</f>
        <v/>
      </c>
      <c r="B39" s="2" t="n"/>
      <c r="C39" s="2">
        <f>IF(A39="","",SUMIFS(Продажи!$C$2:$C$1000,Продажи!$B$2:$B$1000,A39))</f>
        <v/>
      </c>
      <c r="D39" s="2">
        <f>IF(A39="","",B39-C39)</f>
        <v/>
      </c>
      <c r="E39" s="2" t="n"/>
      <c r="F39" s="2">
        <f>IF(OR(A39="",E39=""),"",IF(D39&lt;E39,"Пора заказать",""))</f>
        <v/>
      </c>
    </row>
    <row r="40">
      <c r="A40" s="12">
        <f>IF(Товары!A40="","",Товары!A40)</f>
        <v/>
      </c>
      <c r="B40" s="2" t="n"/>
      <c r="C40" s="2">
        <f>IF(A40="","",SUMIFS(Продажи!$C$2:$C$1000,Продажи!$B$2:$B$1000,A40))</f>
        <v/>
      </c>
      <c r="D40" s="2">
        <f>IF(A40="","",B40-C40)</f>
        <v/>
      </c>
      <c r="E40" s="2" t="n"/>
      <c r="F40" s="2">
        <f>IF(OR(A40="",E40=""),"",IF(D40&lt;E40,"Пора заказать",""))</f>
        <v/>
      </c>
    </row>
    <row r="41">
      <c r="A41" s="12">
        <f>IF(Товары!A41="","",Товары!A41)</f>
        <v/>
      </c>
      <c r="B41" s="2" t="n"/>
      <c r="C41" s="2">
        <f>IF(A41="","",SUMIFS(Продажи!$C$2:$C$1000,Продажи!$B$2:$B$1000,A41))</f>
        <v/>
      </c>
      <c r="D41" s="2">
        <f>IF(A41="","",B41-C41)</f>
        <v/>
      </c>
      <c r="E41" s="2" t="n"/>
      <c r="F41" s="2">
        <f>IF(OR(A41="",E41=""),"",IF(D41&lt;E41,"Пора заказать",""))</f>
        <v/>
      </c>
    </row>
    <row r="42">
      <c r="A42" s="12">
        <f>IF(Товары!A42="","",Товары!A42)</f>
        <v/>
      </c>
      <c r="B42" s="2" t="n"/>
      <c r="C42" s="2">
        <f>IF(A42="","",SUMIFS(Продажи!$C$2:$C$1000,Продажи!$B$2:$B$1000,A42))</f>
        <v/>
      </c>
      <c r="D42" s="2">
        <f>IF(A42="","",B42-C42)</f>
        <v/>
      </c>
      <c r="E42" s="2" t="n"/>
      <c r="F42" s="2">
        <f>IF(OR(A42="",E42=""),"",IF(D42&lt;E42,"Пора заказать",""))</f>
        <v/>
      </c>
    </row>
    <row r="43">
      <c r="A43" s="12">
        <f>IF(Товары!A43="","",Товары!A43)</f>
        <v/>
      </c>
      <c r="B43" s="2" t="n"/>
      <c r="C43" s="2">
        <f>IF(A43="","",SUMIFS(Продажи!$C$2:$C$1000,Продажи!$B$2:$B$1000,A43))</f>
        <v/>
      </c>
      <c r="D43" s="2">
        <f>IF(A43="","",B43-C43)</f>
        <v/>
      </c>
      <c r="E43" s="2" t="n"/>
      <c r="F43" s="2">
        <f>IF(OR(A43="",E43=""),"",IF(D43&lt;E43,"Пора заказать",""))</f>
        <v/>
      </c>
    </row>
    <row r="44">
      <c r="A44" s="12">
        <f>IF(Товары!A44="","",Товары!A44)</f>
        <v/>
      </c>
      <c r="B44" s="2" t="n"/>
      <c r="C44" s="2">
        <f>IF(A44="","",SUMIFS(Продажи!$C$2:$C$1000,Продажи!$B$2:$B$1000,A44))</f>
        <v/>
      </c>
      <c r="D44" s="2">
        <f>IF(A44="","",B44-C44)</f>
        <v/>
      </c>
      <c r="E44" s="2" t="n"/>
      <c r="F44" s="2">
        <f>IF(OR(A44="",E44=""),"",IF(D44&lt;E44,"Пора заказать",""))</f>
        <v/>
      </c>
    </row>
    <row r="45">
      <c r="A45" s="12">
        <f>IF(Товары!A45="","",Товары!A45)</f>
        <v/>
      </c>
      <c r="B45" s="2" t="n"/>
      <c r="C45" s="2">
        <f>IF(A45="","",SUMIFS(Продажи!$C$2:$C$1000,Продажи!$B$2:$B$1000,A45))</f>
        <v/>
      </c>
      <c r="D45" s="2">
        <f>IF(A45="","",B45-C45)</f>
        <v/>
      </c>
      <c r="E45" s="2" t="n"/>
      <c r="F45" s="2">
        <f>IF(OR(A45="",E45=""),"",IF(D45&lt;E45,"Пора заказать",""))</f>
        <v/>
      </c>
    </row>
    <row r="46">
      <c r="A46" s="12">
        <f>IF(Товары!A46="","",Товары!A46)</f>
        <v/>
      </c>
      <c r="B46" s="2" t="n"/>
      <c r="C46" s="2">
        <f>IF(A46="","",SUMIFS(Продажи!$C$2:$C$1000,Продажи!$B$2:$B$1000,A46))</f>
        <v/>
      </c>
      <c r="D46" s="2">
        <f>IF(A46="","",B46-C46)</f>
        <v/>
      </c>
      <c r="E46" s="2" t="n"/>
      <c r="F46" s="2">
        <f>IF(OR(A46="",E46=""),"",IF(D46&lt;E46,"Пора заказать",""))</f>
        <v/>
      </c>
    </row>
    <row r="47">
      <c r="A47" s="12">
        <f>IF(Товары!A47="","",Товары!A47)</f>
        <v/>
      </c>
      <c r="B47" s="2" t="n"/>
      <c r="C47" s="2">
        <f>IF(A47="","",SUMIFS(Продажи!$C$2:$C$1000,Продажи!$B$2:$B$1000,A47))</f>
        <v/>
      </c>
      <c r="D47" s="2">
        <f>IF(A47="","",B47-C47)</f>
        <v/>
      </c>
      <c r="E47" s="2" t="n"/>
      <c r="F47" s="2">
        <f>IF(OR(A47="",E47=""),"",IF(D47&lt;E47,"Пора заказать",""))</f>
        <v/>
      </c>
    </row>
    <row r="48">
      <c r="A48" s="12">
        <f>IF(Товары!A48="","",Товары!A48)</f>
        <v/>
      </c>
      <c r="B48" s="2" t="n"/>
      <c r="C48" s="2">
        <f>IF(A48="","",SUMIFS(Продажи!$C$2:$C$1000,Продажи!$B$2:$B$1000,A48))</f>
        <v/>
      </c>
      <c r="D48" s="2">
        <f>IF(A48="","",B48-C48)</f>
        <v/>
      </c>
      <c r="E48" s="2" t="n"/>
      <c r="F48" s="2">
        <f>IF(OR(A48="",E48=""),"",IF(D48&lt;E48,"Пора заказать",""))</f>
        <v/>
      </c>
    </row>
    <row r="49">
      <c r="A49" s="12">
        <f>IF(Товары!A49="","",Товары!A49)</f>
        <v/>
      </c>
      <c r="B49" s="2" t="n"/>
      <c r="C49" s="2">
        <f>IF(A49="","",SUMIFS(Продажи!$C$2:$C$1000,Продажи!$B$2:$B$1000,A49))</f>
        <v/>
      </c>
      <c r="D49" s="2">
        <f>IF(A49="","",B49-C49)</f>
        <v/>
      </c>
      <c r="E49" s="2" t="n"/>
      <c r="F49" s="2">
        <f>IF(OR(A49="",E49=""),"",IF(D49&lt;E49,"Пора заказать",""))</f>
        <v/>
      </c>
    </row>
    <row r="50">
      <c r="A50" s="12">
        <f>IF(Товары!A50="","",Товары!A50)</f>
        <v/>
      </c>
      <c r="B50" s="2" t="n"/>
      <c r="C50" s="2">
        <f>IF(A50="","",SUMIFS(Продажи!$C$2:$C$1000,Продажи!$B$2:$B$1000,A50))</f>
        <v/>
      </c>
      <c r="D50" s="2">
        <f>IF(A50="","",B50-C50)</f>
        <v/>
      </c>
      <c r="E50" s="2" t="n"/>
      <c r="F50" s="2">
        <f>IF(OR(A50="",E50=""),"",IF(D50&lt;E50,"Пора заказать",""))</f>
        <v/>
      </c>
    </row>
    <row r="51">
      <c r="A51" s="12">
        <f>IF(Товары!A51="","",Товары!A51)</f>
        <v/>
      </c>
      <c r="B51" s="2" t="n"/>
      <c r="C51" s="2">
        <f>IF(A51="","",SUMIFS(Продажи!$C$2:$C$1000,Продажи!$B$2:$B$1000,A51))</f>
        <v/>
      </c>
      <c r="D51" s="2">
        <f>IF(A51="","",B51-C51)</f>
        <v/>
      </c>
      <c r="E51" s="2" t="n"/>
      <c r="F51" s="2">
        <f>IF(OR(A51="",E51=""),"",IF(D51&lt;E51,"Пора заказать",""))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Итоги за месяц</t>
        </is>
      </c>
      <c r="B1" s="2" t="n"/>
    </row>
    <row r="2">
      <c r="A2" s="2" t="n"/>
      <c r="B2" s="2" t="n"/>
    </row>
    <row r="3">
      <c r="A3" s="2" t="inlineStr">
        <is>
          <t>Месяц (ГГГГ-ММ)</t>
        </is>
      </c>
      <c r="B3" s="5" t="inlineStr">
        <is>
          <t>2026-09</t>
        </is>
      </c>
    </row>
    <row r="4">
      <c r="A4" s="3" t="inlineStr">
        <is>
          <t>Выручка</t>
        </is>
      </c>
      <c r="B4" s="8">
        <f>SUMIFS(Продажи!$E$2:$E$1000,Продажи!$G$2:$G$1000,$B$3)</f>
        <v/>
      </c>
    </row>
    <row r="5">
      <c r="A5" s="3" t="inlineStr">
        <is>
          <t>Прибыль (до рекламы и постоянных)</t>
        </is>
      </c>
      <c r="B5" s="8">
        <f>SUMIFS(Продажи!$F$2:$F$1000,Продажи!$G$2:$G$1000,$B$3)</f>
        <v/>
      </c>
    </row>
    <row r="6">
      <c r="A6" s="3" t="inlineStr">
        <is>
          <t>Продано штук (нетто)</t>
        </is>
      </c>
      <c r="B6" s="13">
        <f>SUMIFS(Продажи!$C$2:$C$1000,Продажи!$G$2:$G$1000,$B$3)</f>
        <v/>
      </c>
    </row>
    <row r="7">
      <c r="A7" s="3" t="inlineStr">
        <is>
          <t>Возвращено штук</t>
        </is>
      </c>
      <c r="B7" s="13">
        <f>-SUMIFS(Продажи!$C$2:$C$1000,Продажи!$G$2:$G$1000,$B$3,Продажи!$C$2:$C$1000,"&lt;0")</f>
        <v/>
      </c>
    </row>
    <row r="8">
      <c r="A8" s="3" t="inlineStr">
        <is>
          <t>Реклама за месяц</t>
        </is>
      </c>
      <c r="B8" s="6" t="n">
        <v>15000</v>
      </c>
    </row>
    <row r="9">
      <c r="A9" s="3" t="inlineStr">
        <is>
          <t>Прочие постоянные за месяц</t>
        </is>
      </c>
      <c r="B9" s="6" t="n">
        <v>5000</v>
      </c>
    </row>
    <row r="10">
      <c r="A10" s="14" t="inlineStr">
        <is>
          <t>Чистая прибыль</t>
        </is>
      </c>
      <c r="B10" s="15">
        <f>B5-B8-B9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2026-09-26T17:21:36Z</dcterms:created>
  <dcterms:modified xsi:type="dcterms:W3CDTF">2026-09-26T17:21:37Z</dcterms:modified>
</cp:coreProperties>
</file>